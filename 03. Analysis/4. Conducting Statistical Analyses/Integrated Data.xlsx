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oluwo\Downloads\"/>
    </mc:Choice>
  </mc:AlternateContent>
  <xr:revisionPtr revIDLastSave="0" documentId="13_ncr:1_{C78000CD-D306-426B-B09C-84C81896BF19}" xr6:coauthVersionLast="47" xr6:coauthVersionMax="47" xr10:uidLastSave="{00000000-0000-0000-0000-000000000000}"/>
  <bookViews>
    <workbookView xWindow="-108" yWindow="-108" windowWidth="23256" windowHeight="12456" activeTab="1" xr2:uid="{95D581A2-95B1-4559-8F49-97C972683CBA}"/>
  </bookViews>
  <sheets>
    <sheet name="Integrated" sheetId="4" r:id="rId1"/>
    <sheet name="Statistic Analysis" sheetId="1" r:id="rId2"/>
  </sheets>
  <definedNames>
    <definedName name="_xlnm._FilterDatabase" localSheetId="0" hidden="1">Integrated!$A$2:$AK$461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461" i="4" l="1"/>
  <c r="AJ461" i="4"/>
  <c r="AI461" i="4"/>
  <c r="AH461" i="4"/>
  <c r="AG461" i="4"/>
  <c r="AF461" i="4"/>
  <c r="AE461" i="4"/>
  <c r="AD461" i="4"/>
  <c r="AC461" i="4"/>
  <c r="AB461" i="4"/>
  <c r="AA461" i="4"/>
  <c r="C461" i="4"/>
  <c r="AK460" i="4"/>
  <c r="AJ460" i="4"/>
  <c r="AI460" i="4"/>
  <c r="AH460" i="4"/>
  <c r="AG460" i="4"/>
  <c r="AF460" i="4"/>
  <c r="AE460" i="4"/>
  <c r="AD460" i="4"/>
  <c r="AC460" i="4"/>
  <c r="AB460" i="4"/>
  <c r="AA460" i="4"/>
  <c r="C460" i="4"/>
  <c r="AK459" i="4"/>
  <c r="AJ459" i="4"/>
  <c r="AI459" i="4"/>
  <c r="AH459" i="4"/>
  <c r="AG459" i="4"/>
  <c r="AF459" i="4"/>
  <c r="AE459" i="4"/>
  <c r="AD459" i="4"/>
  <c r="AC459" i="4"/>
  <c r="AB459" i="4"/>
  <c r="AA459" i="4"/>
  <c r="C459" i="4"/>
  <c r="AK458" i="4"/>
  <c r="AJ458" i="4"/>
  <c r="AI458" i="4"/>
  <c r="AH458" i="4"/>
  <c r="AG458" i="4"/>
  <c r="AF458" i="4"/>
  <c r="AE458" i="4"/>
  <c r="AD458" i="4"/>
  <c r="AC458" i="4"/>
  <c r="AB458" i="4"/>
  <c r="AA458" i="4"/>
  <c r="C458" i="4"/>
  <c r="AK457" i="4"/>
  <c r="AJ457" i="4"/>
  <c r="AI457" i="4"/>
  <c r="AH457" i="4"/>
  <c r="AG457" i="4"/>
  <c r="AF457" i="4"/>
  <c r="AE457" i="4"/>
  <c r="AD457" i="4"/>
  <c r="AC457" i="4"/>
  <c r="AB457" i="4"/>
  <c r="AA457" i="4"/>
  <c r="C457" i="4"/>
  <c r="AK456" i="4"/>
  <c r="AJ456" i="4"/>
  <c r="AI456" i="4"/>
  <c r="AH456" i="4"/>
  <c r="AG456" i="4"/>
  <c r="AF456" i="4"/>
  <c r="AE456" i="4"/>
  <c r="AD456" i="4"/>
  <c r="AC456" i="4"/>
  <c r="AB456" i="4"/>
  <c r="AA456" i="4"/>
  <c r="C456" i="4"/>
  <c r="AK455" i="4"/>
  <c r="AJ455" i="4"/>
  <c r="AI455" i="4"/>
  <c r="AH455" i="4"/>
  <c r="AG455" i="4"/>
  <c r="AF455" i="4"/>
  <c r="AE455" i="4"/>
  <c r="AD455" i="4"/>
  <c r="AC455" i="4"/>
  <c r="AB455" i="4"/>
  <c r="AA455" i="4"/>
  <c r="C455" i="4"/>
  <c r="AK454" i="4"/>
  <c r="AJ454" i="4"/>
  <c r="AI454" i="4"/>
  <c r="AH454" i="4"/>
  <c r="AG454" i="4"/>
  <c r="AF454" i="4"/>
  <c r="AE454" i="4"/>
  <c r="AD454" i="4"/>
  <c r="AC454" i="4"/>
  <c r="AB454" i="4"/>
  <c r="AA454" i="4"/>
  <c r="C454" i="4"/>
  <c r="AK453" i="4"/>
  <c r="AJ453" i="4"/>
  <c r="AI453" i="4"/>
  <c r="AH453" i="4"/>
  <c r="AG453" i="4"/>
  <c r="AF453" i="4"/>
  <c r="AE453" i="4"/>
  <c r="AD453" i="4"/>
  <c r="AC453" i="4"/>
  <c r="AB453" i="4"/>
  <c r="AA453" i="4"/>
  <c r="C453" i="4"/>
  <c r="AK452" i="4"/>
  <c r="AJ452" i="4"/>
  <c r="AI452" i="4"/>
  <c r="AH452" i="4"/>
  <c r="AG452" i="4"/>
  <c r="AF452" i="4"/>
  <c r="AE452" i="4"/>
  <c r="AD452" i="4"/>
  <c r="AC452" i="4"/>
  <c r="AB452" i="4"/>
  <c r="AA452" i="4"/>
  <c r="C452" i="4"/>
  <c r="AK451" i="4"/>
  <c r="AJ451" i="4"/>
  <c r="AI451" i="4"/>
  <c r="AH451" i="4"/>
  <c r="AG451" i="4"/>
  <c r="AF451" i="4"/>
  <c r="AE451" i="4"/>
  <c r="AD451" i="4"/>
  <c r="AC451" i="4"/>
  <c r="AB451" i="4"/>
  <c r="AA451" i="4"/>
  <c r="C451" i="4"/>
  <c r="AK450" i="4"/>
  <c r="AJ450" i="4"/>
  <c r="AI450" i="4"/>
  <c r="AH450" i="4"/>
  <c r="AG450" i="4"/>
  <c r="AF450" i="4"/>
  <c r="AE450" i="4"/>
  <c r="AD450" i="4"/>
  <c r="AC450" i="4"/>
  <c r="AB450" i="4"/>
  <c r="AA450" i="4"/>
  <c r="C450" i="4"/>
  <c r="AK449" i="4"/>
  <c r="AJ449" i="4"/>
  <c r="AI449" i="4"/>
  <c r="AH449" i="4"/>
  <c r="AG449" i="4"/>
  <c r="AF449" i="4"/>
  <c r="AE449" i="4"/>
  <c r="AD449" i="4"/>
  <c r="AC449" i="4"/>
  <c r="AB449" i="4"/>
  <c r="AA449" i="4"/>
  <c r="C449" i="4"/>
  <c r="AK448" i="4"/>
  <c r="AJ448" i="4"/>
  <c r="AI448" i="4"/>
  <c r="AH448" i="4"/>
  <c r="AG448" i="4"/>
  <c r="AF448" i="4"/>
  <c r="AE448" i="4"/>
  <c r="AD448" i="4"/>
  <c r="AC448" i="4"/>
  <c r="AB448" i="4"/>
  <c r="AA448" i="4"/>
  <c r="C448" i="4"/>
  <c r="AK447" i="4"/>
  <c r="AJ447" i="4"/>
  <c r="AI447" i="4"/>
  <c r="AH447" i="4"/>
  <c r="AG447" i="4"/>
  <c r="AF447" i="4"/>
  <c r="AE447" i="4"/>
  <c r="AD447" i="4"/>
  <c r="AC447" i="4"/>
  <c r="AB447" i="4"/>
  <c r="AA447" i="4"/>
  <c r="C447" i="4"/>
  <c r="AK446" i="4"/>
  <c r="AJ446" i="4"/>
  <c r="AI446" i="4"/>
  <c r="AH446" i="4"/>
  <c r="AG446" i="4"/>
  <c r="AF446" i="4"/>
  <c r="AE446" i="4"/>
  <c r="AD446" i="4"/>
  <c r="AC446" i="4"/>
  <c r="AB446" i="4"/>
  <c r="AA446" i="4"/>
  <c r="C446" i="4"/>
  <c r="AK445" i="4"/>
  <c r="AJ445" i="4"/>
  <c r="AI445" i="4"/>
  <c r="AH445" i="4"/>
  <c r="AG445" i="4"/>
  <c r="AF445" i="4"/>
  <c r="AE445" i="4"/>
  <c r="AD445" i="4"/>
  <c r="AC445" i="4"/>
  <c r="AB445" i="4"/>
  <c r="AA445" i="4"/>
  <c r="C445" i="4"/>
  <c r="AK444" i="4"/>
  <c r="AJ444" i="4"/>
  <c r="AI444" i="4"/>
  <c r="AH444" i="4"/>
  <c r="AG444" i="4"/>
  <c r="AF444" i="4"/>
  <c r="AE444" i="4"/>
  <c r="AD444" i="4"/>
  <c r="AC444" i="4"/>
  <c r="AB444" i="4"/>
  <c r="AA444" i="4"/>
  <c r="C444" i="4"/>
  <c r="AK443" i="4"/>
  <c r="AJ443" i="4"/>
  <c r="AI443" i="4"/>
  <c r="AH443" i="4"/>
  <c r="AG443" i="4"/>
  <c r="AF443" i="4"/>
  <c r="AE443" i="4"/>
  <c r="AD443" i="4"/>
  <c r="AC443" i="4"/>
  <c r="AB443" i="4"/>
  <c r="AA443" i="4"/>
  <c r="C443" i="4"/>
  <c r="AK442" i="4"/>
  <c r="AJ442" i="4"/>
  <c r="AI442" i="4"/>
  <c r="AH442" i="4"/>
  <c r="AG442" i="4"/>
  <c r="AF442" i="4"/>
  <c r="AE442" i="4"/>
  <c r="AD442" i="4"/>
  <c r="AC442" i="4"/>
  <c r="AB442" i="4"/>
  <c r="AA442" i="4"/>
  <c r="C442" i="4"/>
  <c r="AK441" i="4"/>
  <c r="AJ441" i="4"/>
  <c r="AI441" i="4"/>
  <c r="AH441" i="4"/>
  <c r="AG441" i="4"/>
  <c r="AF441" i="4"/>
  <c r="AE441" i="4"/>
  <c r="AD441" i="4"/>
  <c r="AC441" i="4"/>
  <c r="AB441" i="4"/>
  <c r="AA441" i="4"/>
  <c r="C441" i="4"/>
  <c r="AK440" i="4"/>
  <c r="AJ440" i="4"/>
  <c r="AI440" i="4"/>
  <c r="AH440" i="4"/>
  <c r="AG440" i="4"/>
  <c r="AF440" i="4"/>
  <c r="AE440" i="4"/>
  <c r="AD440" i="4"/>
  <c r="AC440" i="4"/>
  <c r="AB440" i="4"/>
  <c r="AA440" i="4"/>
  <c r="C440" i="4"/>
  <c r="AK439" i="4"/>
  <c r="AJ439" i="4"/>
  <c r="AI439" i="4"/>
  <c r="AH439" i="4"/>
  <c r="AG439" i="4"/>
  <c r="AF439" i="4"/>
  <c r="AE439" i="4"/>
  <c r="AD439" i="4"/>
  <c r="AC439" i="4"/>
  <c r="AB439" i="4"/>
  <c r="AA439" i="4"/>
  <c r="C439" i="4"/>
  <c r="AK438" i="4"/>
  <c r="AJ438" i="4"/>
  <c r="AI438" i="4"/>
  <c r="AH438" i="4"/>
  <c r="AG438" i="4"/>
  <c r="AF438" i="4"/>
  <c r="AE438" i="4"/>
  <c r="AD438" i="4"/>
  <c r="AC438" i="4"/>
  <c r="AB438" i="4"/>
  <c r="AA438" i="4"/>
  <c r="C438" i="4"/>
  <c r="AK437" i="4"/>
  <c r="AJ437" i="4"/>
  <c r="AI437" i="4"/>
  <c r="AH437" i="4"/>
  <c r="AG437" i="4"/>
  <c r="AF437" i="4"/>
  <c r="AE437" i="4"/>
  <c r="AD437" i="4"/>
  <c r="AC437" i="4"/>
  <c r="AB437" i="4"/>
  <c r="AA437" i="4"/>
  <c r="C437" i="4"/>
  <c r="AK436" i="4"/>
  <c r="AJ436" i="4"/>
  <c r="AI436" i="4"/>
  <c r="AH436" i="4"/>
  <c r="AG436" i="4"/>
  <c r="AF436" i="4"/>
  <c r="AE436" i="4"/>
  <c r="AD436" i="4"/>
  <c r="AC436" i="4"/>
  <c r="AB436" i="4"/>
  <c r="AA436" i="4"/>
  <c r="C436" i="4"/>
  <c r="AK435" i="4"/>
  <c r="AJ435" i="4"/>
  <c r="AI435" i="4"/>
  <c r="AH435" i="4"/>
  <c r="AG435" i="4"/>
  <c r="AF435" i="4"/>
  <c r="AE435" i="4"/>
  <c r="AD435" i="4"/>
  <c r="AC435" i="4"/>
  <c r="AB435" i="4"/>
  <c r="AA435" i="4"/>
  <c r="C435" i="4"/>
  <c r="AK434" i="4"/>
  <c r="AJ434" i="4"/>
  <c r="AI434" i="4"/>
  <c r="AH434" i="4"/>
  <c r="AG434" i="4"/>
  <c r="AF434" i="4"/>
  <c r="AE434" i="4"/>
  <c r="AD434" i="4"/>
  <c r="AC434" i="4"/>
  <c r="AB434" i="4"/>
  <c r="AA434" i="4"/>
  <c r="C434" i="4"/>
  <c r="AK433" i="4"/>
  <c r="AJ433" i="4"/>
  <c r="AI433" i="4"/>
  <c r="AH433" i="4"/>
  <c r="AG433" i="4"/>
  <c r="AF433" i="4"/>
  <c r="AE433" i="4"/>
  <c r="AD433" i="4"/>
  <c r="AC433" i="4"/>
  <c r="AB433" i="4"/>
  <c r="AA433" i="4"/>
  <c r="C433" i="4"/>
  <c r="AK432" i="4"/>
  <c r="AJ432" i="4"/>
  <c r="AI432" i="4"/>
  <c r="AH432" i="4"/>
  <c r="AG432" i="4"/>
  <c r="AF432" i="4"/>
  <c r="AE432" i="4"/>
  <c r="AD432" i="4"/>
  <c r="AC432" i="4"/>
  <c r="AB432" i="4"/>
  <c r="AA432" i="4"/>
  <c r="C432" i="4"/>
  <c r="AK431" i="4"/>
  <c r="AJ431" i="4"/>
  <c r="AI431" i="4"/>
  <c r="AH431" i="4"/>
  <c r="AG431" i="4"/>
  <c r="AF431" i="4"/>
  <c r="AE431" i="4"/>
  <c r="AD431" i="4"/>
  <c r="AC431" i="4"/>
  <c r="AB431" i="4"/>
  <c r="AA431" i="4"/>
  <c r="C431" i="4"/>
  <c r="AK430" i="4"/>
  <c r="AJ430" i="4"/>
  <c r="AI430" i="4"/>
  <c r="AH430" i="4"/>
  <c r="AG430" i="4"/>
  <c r="AF430" i="4"/>
  <c r="AE430" i="4"/>
  <c r="AD430" i="4"/>
  <c r="AC430" i="4"/>
  <c r="AB430" i="4"/>
  <c r="AA430" i="4"/>
  <c r="C430" i="4"/>
  <c r="AK429" i="4"/>
  <c r="AJ429" i="4"/>
  <c r="AI429" i="4"/>
  <c r="AH429" i="4"/>
  <c r="AG429" i="4"/>
  <c r="AF429" i="4"/>
  <c r="AE429" i="4"/>
  <c r="AD429" i="4"/>
  <c r="AC429" i="4"/>
  <c r="AB429" i="4"/>
  <c r="AA429" i="4"/>
  <c r="C429" i="4"/>
  <c r="AK428" i="4"/>
  <c r="AJ428" i="4"/>
  <c r="AI428" i="4"/>
  <c r="AH428" i="4"/>
  <c r="AG428" i="4"/>
  <c r="AF428" i="4"/>
  <c r="AE428" i="4"/>
  <c r="AD428" i="4"/>
  <c r="AC428" i="4"/>
  <c r="AB428" i="4"/>
  <c r="AA428" i="4"/>
  <c r="C428" i="4"/>
  <c r="AK427" i="4"/>
  <c r="AJ427" i="4"/>
  <c r="AI427" i="4"/>
  <c r="AH427" i="4"/>
  <c r="AG427" i="4"/>
  <c r="AF427" i="4"/>
  <c r="AE427" i="4"/>
  <c r="AD427" i="4"/>
  <c r="AC427" i="4"/>
  <c r="AB427" i="4"/>
  <c r="AA427" i="4"/>
  <c r="C427" i="4"/>
  <c r="AK426" i="4"/>
  <c r="AJ426" i="4"/>
  <c r="AI426" i="4"/>
  <c r="AH426" i="4"/>
  <c r="AG426" i="4"/>
  <c r="AF426" i="4"/>
  <c r="AE426" i="4"/>
  <c r="AD426" i="4"/>
  <c r="AC426" i="4"/>
  <c r="AB426" i="4"/>
  <c r="AA426" i="4"/>
  <c r="C426" i="4"/>
  <c r="AK425" i="4"/>
  <c r="AJ425" i="4"/>
  <c r="AI425" i="4"/>
  <c r="AH425" i="4"/>
  <c r="AG425" i="4"/>
  <c r="AF425" i="4"/>
  <c r="AE425" i="4"/>
  <c r="AD425" i="4"/>
  <c r="AC425" i="4"/>
  <c r="AB425" i="4"/>
  <c r="AA425" i="4"/>
  <c r="C425" i="4"/>
  <c r="AK424" i="4"/>
  <c r="AJ424" i="4"/>
  <c r="AI424" i="4"/>
  <c r="AH424" i="4"/>
  <c r="AG424" i="4"/>
  <c r="AF424" i="4"/>
  <c r="AE424" i="4"/>
  <c r="AD424" i="4"/>
  <c r="AC424" i="4"/>
  <c r="AB424" i="4"/>
  <c r="AA424" i="4"/>
  <c r="C424" i="4"/>
  <c r="AK423" i="4"/>
  <c r="AJ423" i="4"/>
  <c r="AI423" i="4"/>
  <c r="AH423" i="4"/>
  <c r="AG423" i="4"/>
  <c r="AF423" i="4"/>
  <c r="AE423" i="4"/>
  <c r="AD423" i="4"/>
  <c r="AC423" i="4"/>
  <c r="AB423" i="4"/>
  <c r="AA423" i="4"/>
  <c r="C423" i="4"/>
  <c r="AK422" i="4"/>
  <c r="AJ422" i="4"/>
  <c r="AI422" i="4"/>
  <c r="AH422" i="4"/>
  <c r="AG422" i="4"/>
  <c r="AF422" i="4"/>
  <c r="AE422" i="4"/>
  <c r="AD422" i="4"/>
  <c r="AC422" i="4"/>
  <c r="AB422" i="4"/>
  <c r="AA422" i="4"/>
  <c r="C422" i="4"/>
  <c r="AK421" i="4"/>
  <c r="AJ421" i="4"/>
  <c r="AI421" i="4"/>
  <c r="AH421" i="4"/>
  <c r="AG421" i="4"/>
  <c r="AF421" i="4"/>
  <c r="AE421" i="4"/>
  <c r="AD421" i="4"/>
  <c r="AC421" i="4"/>
  <c r="AB421" i="4"/>
  <c r="AA421" i="4"/>
  <c r="C421" i="4"/>
  <c r="AK420" i="4"/>
  <c r="AJ420" i="4"/>
  <c r="AI420" i="4"/>
  <c r="AH420" i="4"/>
  <c r="AG420" i="4"/>
  <c r="AF420" i="4"/>
  <c r="AE420" i="4"/>
  <c r="AD420" i="4"/>
  <c r="AC420" i="4"/>
  <c r="AB420" i="4"/>
  <c r="AA420" i="4"/>
  <c r="C420" i="4"/>
  <c r="AK419" i="4"/>
  <c r="AJ419" i="4"/>
  <c r="AI419" i="4"/>
  <c r="AH419" i="4"/>
  <c r="AG419" i="4"/>
  <c r="AF419" i="4"/>
  <c r="AE419" i="4"/>
  <c r="AD419" i="4"/>
  <c r="AC419" i="4"/>
  <c r="AB419" i="4"/>
  <c r="AA419" i="4"/>
  <c r="C419" i="4"/>
  <c r="AK418" i="4"/>
  <c r="AJ418" i="4"/>
  <c r="AI418" i="4"/>
  <c r="AH418" i="4"/>
  <c r="AG418" i="4"/>
  <c r="AF418" i="4"/>
  <c r="AE418" i="4"/>
  <c r="AD418" i="4"/>
  <c r="AC418" i="4"/>
  <c r="AB418" i="4"/>
  <c r="AA418" i="4"/>
  <c r="C418" i="4"/>
  <c r="AK417" i="4"/>
  <c r="AJ417" i="4"/>
  <c r="AI417" i="4"/>
  <c r="AH417" i="4"/>
  <c r="AG417" i="4"/>
  <c r="AF417" i="4"/>
  <c r="AE417" i="4"/>
  <c r="AD417" i="4"/>
  <c r="AC417" i="4"/>
  <c r="AB417" i="4"/>
  <c r="AA417" i="4"/>
  <c r="C417" i="4"/>
  <c r="AK416" i="4"/>
  <c r="AJ416" i="4"/>
  <c r="AI416" i="4"/>
  <c r="AH416" i="4"/>
  <c r="AG416" i="4"/>
  <c r="AF416" i="4"/>
  <c r="AE416" i="4"/>
  <c r="AD416" i="4"/>
  <c r="AC416" i="4"/>
  <c r="AB416" i="4"/>
  <c r="AA416" i="4"/>
  <c r="C416" i="4"/>
  <c r="AK415" i="4"/>
  <c r="AJ415" i="4"/>
  <c r="AI415" i="4"/>
  <c r="AH415" i="4"/>
  <c r="AG415" i="4"/>
  <c r="AF415" i="4"/>
  <c r="AE415" i="4"/>
  <c r="AD415" i="4"/>
  <c r="AC415" i="4"/>
  <c r="AB415" i="4"/>
  <c r="AA415" i="4"/>
  <c r="C415" i="4"/>
  <c r="AK414" i="4"/>
  <c r="AJ414" i="4"/>
  <c r="AI414" i="4"/>
  <c r="AH414" i="4"/>
  <c r="AG414" i="4"/>
  <c r="AF414" i="4"/>
  <c r="AE414" i="4"/>
  <c r="AD414" i="4"/>
  <c r="AC414" i="4"/>
  <c r="AB414" i="4"/>
  <c r="AA414" i="4"/>
  <c r="C414" i="4"/>
  <c r="AK413" i="4"/>
  <c r="AJ413" i="4"/>
  <c r="AI413" i="4"/>
  <c r="AH413" i="4"/>
  <c r="AG413" i="4"/>
  <c r="AF413" i="4"/>
  <c r="AE413" i="4"/>
  <c r="AD413" i="4"/>
  <c r="AC413" i="4"/>
  <c r="AB413" i="4"/>
  <c r="AA413" i="4"/>
  <c r="C413" i="4"/>
  <c r="AK412" i="4"/>
  <c r="AJ412" i="4"/>
  <c r="AI412" i="4"/>
  <c r="AH412" i="4"/>
  <c r="AG412" i="4"/>
  <c r="AF412" i="4"/>
  <c r="AE412" i="4"/>
  <c r="AD412" i="4"/>
  <c r="AC412" i="4"/>
  <c r="AB412" i="4"/>
  <c r="AA412" i="4"/>
  <c r="C412" i="4"/>
  <c r="AK411" i="4"/>
  <c r="AJ411" i="4"/>
  <c r="AI411" i="4"/>
  <c r="AH411" i="4"/>
  <c r="AG411" i="4"/>
  <c r="AF411" i="4"/>
  <c r="AE411" i="4"/>
  <c r="AD411" i="4"/>
  <c r="AC411" i="4"/>
  <c r="AB411" i="4"/>
  <c r="AA411" i="4"/>
  <c r="C411" i="4"/>
  <c r="AK410" i="4"/>
  <c r="AJ410" i="4"/>
  <c r="AI410" i="4"/>
  <c r="AH410" i="4"/>
  <c r="AG410" i="4"/>
  <c r="AF410" i="4"/>
  <c r="AE410" i="4"/>
  <c r="AD410" i="4"/>
  <c r="AC410" i="4"/>
  <c r="AB410" i="4"/>
  <c r="AA410" i="4"/>
  <c r="C410" i="4"/>
  <c r="AK409" i="4"/>
  <c r="AJ409" i="4"/>
  <c r="AI409" i="4"/>
  <c r="AH409" i="4"/>
  <c r="AG409" i="4"/>
  <c r="AF409" i="4"/>
  <c r="AE409" i="4"/>
  <c r="AD409" i="4"/>
  <c r="AC409" i="4"/>
  <c r="AB409" i="4"/>
  <c r="AA409" i="4"/>
  <c r="C409" i="4"/>
  <c r="AK408" i="4"/>
  <c r="AJ408" i="4"/>
  <c r="AI408" i="4"/>
  <c r="AH408" i="4"/>
  <c r="AG408" i="4"/>
  <c r="AF408" i="4"/>
  <c r="AE408" i="4"/>
  <c r="AD408" i="4"/>
  <c r="AC408" i="4"/>
  <c r="AB408" i="4"/>
  <c r="AA408" i="4"/>
  <c r="C408" i="4"/>
  <c r="AK407" i="4"/>
  <c r="AJ407" i="4"/>
  <c r="AI407" i="4"/>
  <c r="AH407" i="4"/>
  <c r="AG407" i="4"/>
  <c r="AF407" i="4"/>
  <c r="AE407" i="4"/>
  <c r="AD407" i="4"/>
  <c r="AC407" i="4"/>
  <c r="AB407" i="4"/>
  <c r="AA407" i="4"/>
  <c r="C407" i="4"/>
  <c r="AK406" i="4"/>
  <c r="AJ406" i="4"/>
  <c r="AI406" i="4"/>
  <c r="AH406" i="4"/>
  <c r="AG406" i="4"/>
  <c r="AF406" i="4"/>
  <c r="AE406" i="4"/>
  <c r="AD406" i="4"/>
  <c r="AC406" i="4"/>
  <c r="AB406" i="4"/>
  <c r="AA406" i="4"/>
  <c r="C406" i="4"/>
  <c r="AK405" i="4"/>
  <c r="AJ405" i="4"/>
  <c r="AI405" i="4"/>
  <c r="AH405" i="4"/>
  <c r="AG405" i="4"/>
  <c r="AF405" i="4"/>
  <c r="AE405" i="4"/>
  <c r="AD405" i="4"/>
  <c r="AC405" i="4"/>
  <c r="AB405" i="4"/>
  <c r="AA405" i="4"/>
  <c r="C405" i="4"/>
  <c r="AK404" i="4"/>
  <c r="AJ404" i="4"/>
  <c r="AI404" i="4"/>
  <c r="AH404" i="4"/>
  <c r="AG404" i="4"/>
  <c r="AF404" i="4"/>
  <c r="AE404" i="4"/>
  <c r="AD404" i="4"/>
  <c r="AC404" i="4"/>
  <c r="AB404" i="4"/>
  <c r="AA404" i="4"/>
  <c r="C404" i="4"/>
  <c r="AK403" i="4"/>
  <c r="AJ403" i="4"/>
  <c r="AI403" i="4"/>
  <c r="AH403" i="4"/>
  <c r="AG403" i="4"/>
  <c r="AF403" i="4"/>
  <c r="AE403" i="4"/>
  <c r="AD403" i="4"/>
  <c r="AC403" i="4"/>
  <c r="AB403" i="4"/>
  <c r="AA403" i="4"/>
  <c r="C403" i="4"/>
  <c r="AK402" i="4"/>
  <c r="AJ402" i="4"/>
  <c r="AI402" i="4"/>
  <c r="AH402" i="4"/>
  <c r="AG402" i="4"/>
  <c r="AF402" i="4"/>
  <c r="AE402" i="4"/>
  <c r="AD402" i="4"/>
  <c r="AC402" i="4"/>
  <c r="AB402" i="4"/>
  <c r="AA402" i="4"/>
  <c r="C402" i="4"/>
  <c r="AK401" i="4"/>
  <c r="AJ401" i="4"/>
  <c r="AI401" i="4"/>
  <c r="AH401" i="4"/>
  <c r="AG401" i="4"/>
  <c r="AF401" i="4"/>
  <c r="AE401" i="4"/>
  <c r="AD401" i="4"/>
  <c r="AC401" i="4"/>
  <c r="AB401" i="4"/>
  <c r="AA401" i="4"/>
  <c r="C401" i="4"/>
  <c r="AK400" i="4"/>
  <c r="AJ400" i="4"/>
  <c r="AI400" i="4"/>
  <c r="AH400" i="4"/>
  <c r="AG400" i="4"/>
  <c r="AF400" i="4"/>
  <c r="AE400" i="4"/>
  <c r="AD400" i="4"/>
  <c r="AC400" i="4"/>
  <c r="AB400" i="4"/>
  <c r="AA400" i="4"/>
  <c r="C400" i="4"/>
  <c r="AK399" i="4"/>
  <c r="AJ399" i="4"/>
  <c r="AI399" i="4"/>
  <c r="AH399" i="4"/>
  <c r="AG399" i="4"/>
  <c r="AF399" i="4"/>
  <c r="AE399" i="4"/>
  <c r="AD399" i="4"/>
  <c r="AC399" i="4"/>
  <c r="AB399" i="4"/>
  <c r="AA399" i="4"/>
  <c r="C399" i="4"/>
  <c r="AK398" i="4"/>
  <c r="AJ398" i="4"/>
  <c r="AI398" i="4"/>
  <c r="AH398" i="4"/>
  <c r="AG398" i="4"/>
  <c r="AF398" i="4"/>
  <c r="AE398" i="4"/>
  <c r="AD398" i="4"/>
  <c r="AC398" i="4"/>
  <c r="AB398" i="4"/>
  <c r="AA398" i="4"/>
  <c r="C398" i="4"/>
  <c r="AK397" i="4"/>
  <c r="AJ397" i="4"/>
  <c r="AI397" i="4"/>
  <c r="AH397" i="4"/>
  <c r="AG397" i="4"/>
  <c r="AF397" i="4"/>
  <c r="AE397" i="4"/>
  <c r="AD397" i="4"/>
  <c r="AC397" i="4"/>
  <c r="AB397" i="4"/>
  <c r="AA397" i="4"/>
  <c r="C397" i="4"/>
  <c r="AK396" i="4"/>
  <c r="AJ396" i="4"/>
  <c r="AI396" i="4"/>
  <c r="AH396" i="4"/>
  <c r="AG396" i="4"/>
  <c r="AF396" i="4"/>
  <c r="AE396" i="4"/>
  <c r="AD396" i="4"/>
  <c r="AC396" i="4"/>
  <c r="AB396" i="4"/>
  <c r="AA396" i="4"/>
  <c r="C396" i="4"/>
  <c r="AK395" i="4"/>
  <c r="AJ395" i="4"/>
  <c r="AI395" i="4"/>
  <c r="AH395" i="4"/>
  <c r="AG395" i="4"/>
  <c r="AF395" i="4"/>
  <c r="AE395" i="4"/>
  <c r="AD395" i="4"/>
  <c r="AC395" i="4"/>
  <c r="AB395" i="4"/>
  <c r="AA395" i="4"/>
  <c r="C395" i="4"/>
  <c r="AK394" i="4"/>
  <c r="AJ394" i="4"/>
  <c r="AI394" i="4"/>
  <c r="AH394" i="4"/>
  <c r="AG394" i="4"/>
  <c r="AF394" i="4"/>
  <c r="AE394" i="4"/>
  <c r="AD394" i="4"/>
  <c r="AC394" i="4"/>
  <c r="AB394" i="4"/>
  <c r="AA394" i="4"/>
  <c r="C394" i="4"/>
  <c r="AK393" i="4"/>
  <c r="AJ393" i="4"/>
  <c r="AI393" i="4"/>
  <c r="AH393" i="4"/>
  <c r="AG393" i="4"/>
  <c r="AF393" i="4"/>
  <c r="AE393" i="4"/>
  <c r="AD393" i="4"/>
  <c r="AC393" i="4"/>
  <c r="AB393" i="4"/>
  <c r="AA393" i="4"/>
  <c r="C393" i="4"/>
  <c r="AK392" i="4"/>
  <c r="AJ392" i="4"/>
  <c r="AI392" i="4"/>
  <c r="AH392" i="4"/>
  <c r="AG392" i="4"/>
  <c r="AF392" i="4"/>
  <c r="AE392" i="4"/>
  <c r="AD392" i="4"/>
  <c r="AC392" i="4"/>
  <c r="AB392" i="4"/>
  <c r="AA392" i="4"/>
  <c r="C392" i="4"/>
  <c r="AK391" i="4"/>
  <c r="AJ391" i="4"/>
  <c r="AI391" i="4"/>
  <c r="AH391" i="4"/>
  <c r="AG391" i="4"/>
  <c r="AF391" i="4"/>
  <c r="AE391" i="4"/>
  <c r="AD391" i="4"/>
  <c r="AC391" i="4"/>
  <c r="AB391" i="4"/>
  <c r="AA391" i="4"/>
  <c r="C391" i="4"/>
  <c r="AK390" i="4"/>
  <c r="AJ390" i="4"/>
  <c r="AI390" i="4"/>
  <c r="AH390" i="4"/>
  <c r="AG390" i="4"/>
  <c r="AF390" i="4"/>
  <c r="AE390" i="4"/>
  <c r="AD390" i="4"/>
  <c r="AC390" i="4"/>
  <c r="AB390" i="4"/>
  <c r="AA390" i="4"/>
  <c r="C390" i="4"/>
  <c r="AK389" i="4"/>
  <c r="AJ389" i="4"/>
  <c r="AI389" i="4"/>
  <c r="AH389" i="4"/>
  <c r="AG389" i="4"/>
  <c r="AF389" i="4"/>
  <c r="AE389" i="4"/>
  <c r="AD389" i="4"/>
  <c r="AC389" i="4"/>
  <c r="AB389" i="4"/>
  <c r="AA389" i="4"/>
  <c r="C389" i="4"/>
  <c r="AK388" i="4"/>
  <c r="AJ388" i="4"/>
  <c r="AI388" i="4"/>
  <c r="AH388" i="4"/>
  <c r="AG388" i="4"/>
  <c r="AF388" i="4"/>
  <c r="AE388" i="4"/>
  <c r="AD388" i="4"/>
  <c r="AC388" i="4"/>
  <c r="AB388" i="4"/>
  <c r="AA388" i="4"/>
  <c r="C388" i="4"/>
  <c r="AK387" i="4"/>
  <c r="AJ387" i="4"/>
  <c r="AI387" i="4"/>
  <c r="AH387" i="4"/>
  <c r="AG387" i="4"/>
  <c r="AF387" i="4"/>
  <c r="AE387" i="4"/>
  <c r="AD387" i="4"/>
  <c r="AC387" i="4"/>
  <c r="AB387" i="4"/>
  <c r="AA387" i="4"/>
  <c r="C387" i="4"/>
  <c r="AK386" i="4"/>
  <c r="AJ386" i="4"/>
  <c r="AI386" i="4"/>
  <c r="AH386" i="4"/>
  <c r="AG386" i="4"/>
  <c r="AF386" i="4"/>
  <c r="AE386" i="4"/>
  <c r="AD386" i="4"/>
  <c r="AC386" i="4"/>
  <c r="AB386" i="4"/>
  <c r="AA386" i="4"/>
  <c r="C386" i="4"/>
  <c r="AK385" i="4"/>
  <c r="AJ385" i="4"/>
  <c r="AI385" i="4"/>
  <c r="AH385" i="4"/>
  <c r="AG385" i="4"/>
  <c r="AF385" i="4"/>
  <c r="AE385" i="4"/>
  <c r="AD385" i="4"/>
  <c r="AC385" i="4"/>
  <c r="AB385" i="4"/>
  <c r="AA385" i="4"/>
  <c r="C385" i="4"/>
  <c r="AK384" i="4"/>
  <c r="AJ384" i="4"/>
  <c r="AI384" i="4"/>
  <c r="AH384" i="4"/>
  <c r="AG384" i="4"/>
  <c r="AF384" i="4"/>
  <c r="AE384" i="4"/>
  <c r="AD384" i="4"/>
  <c r="AC384" i="4"/>
  <c r="AB384" i="4"/>
  <c r="AA384" i="4"/>
  <c r="C384" i="4"/>
  <c r="AK383" i="4"/>
  <c r="AJ383" i="4"/>
  <c r="AI383" i="4"/>
  <c r="AH383" i="4"/>
  <c r="AG383" i="4"/>
  <c r="AF383" i="4"/>
  <c r="AE383" i="4"/>
  <c r="AD383" i="4"/>
  <c r="AC383" i="4"/>
  <c r="AB383" i="4"/>
  <c r="AA383" i="4"/>
  <c r="C383" i="4"/>
  <c r="AK382" i="4"/>
  <c r="AJ382" i="4"/>
  <c r="AI382" i="4"/>
  <c r="AH382" i="4"/>
  <c r="AG382" i="4"/>
  <c r="AF382" i="4"/>
  <c r="AE382" i="4"/>
  <c r="AD382" i="4"/>
  <c r="AC382" i="4"/>
  <c r="AB382" i="4"/>
  <c r="AA382" i="4"/>
  <c r="C382" i="4"/>
  <c r="AK381" i="4"/>
  <c r="AJ381" i="4"/>
  <c r="AI381" i="4"/>
  <c r="AH381" i="4"/>
  <c r="AG381" i="4"/>
  <c r="AF381" i="4"/>
  <c r="AE381" i="4"/>
  <c r="AD381" i="4"/>
  <c r="AC381" i="4"/>
  <c r="AB381" i="4"/>
  <c r="AA381" i="4"/>
  <c r="C381" i="4"/>
  <c r="AK380" i="4"/>
  <c r="AJ380" i="4"/>
  <c r="AI380" i="4"/>
  <c r="AH380" i="4"/>
  <c r="AG380" i="4"/>
  <c r="AF380" i="4"/>
  <c r="AE380" i="4"/>
  <c r="AD380" i="4"/>
  <c r="AC380" i="4"/>
  <c r="AB380" i="4"/>
  <c r="AA380" i="4"/>
  <c r="C380" i="4"/>
  <c r="AK379" i="4"/>
  <c r="AJ379" i="4"/>
  <c r="AI379" i="4"/>
  <c r="AH379" i="4"/>
  <c r="AG379" i="4"/>
  <c r="AF379" i="4"/>
  <c r="AE379" i="4"/>
  <c r="AD379" i="4"/>
  <c r="AC379" i="4"/>
  <c r="AB379" i="4"/>
  <c r="AA379" i="4"/>
  <c r="C379" i="4"/>
  <c r="AK378" i="4"/>
  <c r="AJ378" i="4"/>
  <c r="AI378" i="4"/>
  <c r="AH378" i="4"/>
  <c r="AG378" i="4"/>
  <c r="AF378" i="4"/>
  <c r="AE378" i="4"/>
  <c r="AD378" i="4"/>
  <c r="AC378" i="4"/>
  <c r="AB378" i="4"/>
  <c r="AA378" i="4"/>
  <c r="C378" i="4"/>
  <c r="AK377" i="4"/>
  <c r="AJ377" i="4"/>
  <c r="AI377" i="4"/>
  <c r="AH377" i="4"/>
  <c r="AG377" i="4"/>
  <c r="AF377" i="4"/>
  <c r="AE377" i="4"/>
  <c r="AD377" i="4"/>
  <c r="AC377" i="4"/>
  <c r="AB377" i="4"/>
  <c r="AA377" i="4"/>
  <c r="C377" i="4"/>
  <c r="AK376" i="4"/>
  <c r="AJ376" i="4"/>
  <c r="AI376" i="4"/>
  <c r="AH376" i="4"/>
  <c r="AG376" i="4"/>
  <c r="AF376" i="4"/>
  <c r="AE376" i="4"/>
  <c r="AD376" i="4"/>
  <c r="AC376" i="4"/>
  <c r="AB376" i="4"/>
  <c r="AA376" i="4"/>
  <c r="C376" i="4"/>
  <c r="AK375" i="4"/>
  <c r="AJ375" i="4"/>
  <c r="AI375" i="4"/>
  <c r="AH375" i="4"/>
  <c r="AG375" i="4"/>
  <c r="AF375" i="4"/>
  <c r="AE375" i="4"/>
  <c r="AD375" i="4"/>
  <c r="AC375" i="4"/>
  <c r="AB375" i="4"/>
  <c r="AA375" i="4"/>
  <c r="C375" i="4"/>
  <c r="AK374" i="4"/>
  <c r="AJ374" i="4"/>
  <c r="AI374" i="4"/>
  <c r="AH374" i="4"/>
  <c r="AG374" i="4"/>
  <c r="AF374" i="4"/>
  <c r="AE374" i="4"/>
  <c r="AD374" i="4"/>
  <c r="AC374" i="4"/>
  <c r="AB374" i="4"/>
  <c r="AA374" i="4"/>
  <c r="C374" i="4"/>
  <c r="AK373" i="4"/>
  <c r="AJ373" i="4"/>
  <c r="AI373" i="4"/>
  <c r="AH373" i="4"/>
  <c r="AG373" i="4"/>
  <c r="AF373" i="4"/>
  <c r="AE373" i="4"/>
  <c r="AD373" i="4"/>
  <c r="AC373" i="4"/>
  <c r="AB373" i="4"/>
  <c r="AA373" i="4"/>
  <c r="C373" i="4"/>
  <c r="AK372" i="4"/>
  <c r="AJ372" i="4"/>
  <c r="AI372" i="4"/>
  <c r="AH372" i="4"/>
  <c r="AG372" i="4"/>
  <c r="AF372" i="4"/>
  <c r="AE372" i="4"/>
  <c r="AD372" i="4"/>
  <c r="AC372" i="4"/>
  <c r="AB372" i="4"/>
  <c r="AA372" i="4"/>
  <c r="C372" i="4"/>
  <c r="AK371" i="4"/>
  <c r="AJ371" i="4"/>
  <c r="AI371" i="4"/>
  <c r="AH371" i="4"/>
  <c r="AG371" i="4"/>
  <c r="AF371" i="4"/>
  <c r="AE371" i="4"/>
  <c r="AD371" i="4"/>
  <c r="AC371" i="4"/>
  <c r="AB371" i="4"/>
  <c r="AA371" i="4"/>
  <c r="C371" i="4"/>
  <c r="AK370" i="4"/>
  <c r="AJ370" i="4"/>
  <c r="AI370" i="4"/>
  <c r="AH370" i="4"/>
  <c r="AG370" i="4"/>
  <c r="AF370" i="4"/>
  <c r="AE370" i="4"/>
  <c r="AD370" i="4"/>
  <c r="AC370" i="4"/>
  <c r="AB370" i="4"/>
  <c r="AA370" i="4"/>
  <c r="C370" i="4"/>
  <c r="AK369" i="4"/>
  <c r="AJ369" i="4"/>
  <c r="AI369" i="4"/>
  <c r="AH369" i="4"/>
  <c r="AG369" i="4"/>
  <c r="AF369" i="4"/>
  <c r="AE369" i="4"/>
  <c r="AD369" i="4"/>
  <c r="AC369" i="4"/>
  <c r="AB369" i="4"/>
  <c r="AA369" i="4"/>
  <c r="C369" i="4"/>
  <c r="AK368" i="4"/>
  <c r="AJ368" i="4"/>
  <c r="AI368" i="4"/>
  <c r="AH368" i="4"/>
  <c r="AG368" i="4"/>
  <c r="AF368" i="4"/>
  <c r="AE368" i="4"/>
  <c r="AD368" i="4"/>
  <c r="AC368" i="4"/>
  <c r="AB368" i="4"/>
  <c r="AA368" i="4"/>
  <c r="C368" i="4"/>
  <c r="AK367" i="4"/>
  <c r="AJ367" i="4"/>
  <c r="AI367" i="4"/>
  <c r="AH367" i="4"/>
  <c r="AG367" i="4"/>
  <c r="AF367" i="4"/>
  <c r="AE367" i="4"/>
  <c r="AD367" i="4"/>
  <c r="AC367" i="4"/>
  <c r="AB367" i="4"/>
  <c r="AA367" i="4"/>
  <c r="C367" i="4"/>
  <c r="AK366" i="4"/>
  <c r="AJ366" i="4"/>
  <c r="AI366" i="4"/>
  <c r="AH366" i="4"/>
  <c r="AG366" i="4"/>
  <c r="AF366" i="4"/>
  <c r="AE366" i="4"/>
  <c r="AD366" i="4"/>
  <c r="AC366" i="4"/>
  <c r="AB366" i="4"/>
  <c r="AA366" i="4"/>
  <c r="C366" i="4"/>
  <c r="AK365" i="4"/>
  <c r="AJ365" i="4"/>
  <c r="AI365" i="4"/>
  <c r="AH365" i="4"/>
  <c r="AG365" i="4"/>
  <c r="AF365" i="4"/>
  <c r="AE365" i="4"/>
  <c r="AD365" i="4"/>
  <c r="AC365" i="4"/>
  <c r="AB365" i="4"/>
  <c r="AA365" i="4"/>
  <c r="C365" i="4"/>
  <c r="AK364" i="4"/>
  <c r="AJ364" i="4"/>
  <c r="AI364" i="4"/>
  <c r="AH364" i="4"/>
  <c r="AG364" i="4"/>
  <c r="AF364" i="4"/>
  <c r="AE364" i="4"/>
  <c r="AD364" i="4"/>
  <c r="AC364" i="4"/>
  <c r="AB364" i="4"/>
  <c r="AA364" i="4"/>
  <c r="C364" i="4"/>
  <c r="AK363" i="4"/>
  <c r="AJ363" i="4"/>
  <c r="AI363" i="4"/>
  <c r="AH363" i="4"/>
  <c r="AG363" i="4"/>
  <c r="AF363" i="4"/>
  <c r="AE363" i="4"/>
  <c r="AD363" i="4"/>
  <c r="AC363" i="4"/>
  <c r="AB363" i="4"/>
  <c r="AA363" i="4"/>
  <c r="C363" i="4"/>
  <c r="AK362" i="4"/>
  <c r="AJ362" i="4"/>
  <c r="AI362" i="4"/>
  <c r="AH362" i="4"/>
  <c r="AG362" i="4"/>
  <c r="AF362" i="4"/>
  <c r="AE362" i="4"/>
  <c r="AD362" i="4"/>
  <c r="AC362" i="4"/>
  <c r="AB362" i="4"/>
  <c r="AA362" i="4"/>
  <c r="C362" i="4"/>
  <c r="AK361" i="4"/>
  <c r="AJ361" i="4"/>
  <c r="AI361" i="4"/>
  <c r="AH361" i="4"/>
  <c r="AG361" i="4"/>
  <c r="AF361" i="4"/>
  <c r="AE361" i="4"/>
  <c r="AD361" i="4"/>
  <c r="AC361" i="4"/>
  <c r="AB361" i="4"/>
  <c r="AA361" i="4"/>
  <c r="C361" i="4"/>
  <c r="AK360" i="4"/>
  <c r="AJ360" i="4"/>
  <c r="AI360" i="4"/>
  <c r="AH360" i="4"/>
  <c r="AG360" i="4"/>
  <c r="AF360" i="4"/>
  <c r="AE360" i="4"/>
  <c r="AD360" i="4"/>
  <c r="AC360" i="4"/>
  <c r="AB360" i="4"/>
  <c r="AA360" i="4"/>
  <c r="C360" i="4"/>
  <c r="AK359" i="4"/>
  <c r="AJ359" i="4"/>
  <c r="AI359" i="4"/>
  <c r="AH359" i="4"/>
  <c r="AG359" i="4"/>
  <c r="AF359" i="4"/>
  <c r="AE359" i="4"/>
  <c r="AD359" i="4"/>
  <c r="AC359" i="4"/>
  <c r="AB359" i="4"/>
  <c r="AA359" i="4"/>
  <c r="C359" i="4"/>
  <c r="AK358" i="4"/>
  <c r="AJ358" i="4"/>
  <c r="AI358" i="4"/>
  <c r="AH358" i="4"/>
  <c r="AG358" i="4"/>
  <c r="AF358" i="4"/>
  <c r="AE358" i="4"/>
  <c r="AD358" i="4"/>
  <c r="AC358" i="4"/>
  <c r="AB358" i="4"/>
  <c r="AA358" i="4"/>
  <c r="C358" i="4"/>
  <c r="AK357" i="4"/>
  <c r="AJ357" i="4"/>
  <c r="AI357" i="4"/>
  <c r="AH357" i="4"/>
  <c r="AG357" i="4"/>
  <c r="AF357" i="4"/>
  <c r="AE357" i="4"/>
  <c r="AD357" i="4"/>
  <c r="AC357" i="4"/>
  <c r="AB357" i="4"/>
  <c r="AA357" i="4"/>
  <c r="C357" i="4"/>
  <c r="AK356" i="4"/>
  <c r="AJ356" i="4"/>
  <c r="AI356" i="4"/>
  <c r="AH356" i="4"/>
  <c r="AG356" i="4"/>
  <c r="AF356" i="4"/>
  <c r="AE356" i="4"/>
  <c r="AD356" i="4"/>
  <c r="AC356" i="4"/>
  <c r="AB356" i="4"/>
  <c r="AA356" i="4"/>
  <c r="C356" i="4"/>
  <c r="AK355" i="4"/>
  <c r="AJ355" i="4"/>
  <c r="AI355" i="4"/>
  <c r="AH355" i="4"/>
  <c r="AG355" i="4"/>
  <c r="AF355" i="4"/>
  <c r="AE355" i="4"/>
  <c r="AD355" i="4"/>
  <c r="AC355" i="4"/>
  <c r="AB355" i="4"/>
  <c r="AA355" i="4"/>
  <c r="C355" i="4"/>
  <c r="AK354" i="4"/>
  <c r="AJ354" i="4"/>
  <c r="AI354" i="4"/>
  <c r="AH354" i="4"/>
  <c r="AG354" i="4"/>
  <c r="AF354" i="4"/>
  <c r="AE354" i="4"/>
  <c r="AD354" i="4"/>
  <c r="AC354" i="4"/>
  <c r="AB354" i="4"/>
  <c r="AA354" i="4"/>
  <c r="C354" i="4"/>
  <c r="AK353" i="4"/>
  <c r="AJ353" i="4"/>
  <c r="AI353" i="4"/>
  <c r="AH353" i="4"/>
  <c r="AG353" i="4"/>
  <c r="AF353" i="4"/>
  <c r="AE353" i="4"/>
  <c r="AD353" i="4"/>
  <c r="AC353" i="4"/>
  <c r="AB353" i="4"/>
  <c r="AA353" i="4"/>
  <c r="C353" i="4"/>
  <c r="AK352" i="4"/>
  <c r="AJ352" i="4"/>
  <c r="AI352" i="4"/>
  <c r="AH352" i="4"/>
  <c r="AG352" i="4"/>
  <c r="AF352" i="4"/>
  <c r="AE352" i="4"/>
  <c r="AD352" i="4"/>
  <c r="AC352" i="4"/>
  <c r="AB352" i="4"/>
  <c r="AA352" i="4"/>
  <c r="C352" i="4"/>
  <c r="AK351" i="4"/>
  <c r="AJ351" i="4"/>
  <c r="AI351" i="4"/>
  <c r="AH351" i="4"/>
  <c r="AG351" i="4"/>
  <c r="AF351" i="4"/>
  <c r="AE351" i="4"/>
  <c r="AD351" i="4"/>
  <c r="AC351" i="4"/>
  <c r="AB351" i="4"/>
  <c r="AA351" i="4"/>
  <c r="C351" i="4"/>
  <c r="AK350" i="4"/>
  <c r="AJ350" i="4"/>
  <c r="AI350" i="4"/>
  <c r="AH350" i="4"/>
  <c r="AG350" i="4"/>
  <c r="AF350" i="4"/>
  <c r="AE350" i="4"/>
  <c r="AD350" i="4"/>
  <c r="AC350" i="4"/>
  <c r="AB350" i="4"/>
  <c r="AA350" i="4"/>
  <c r="C350" i="4"/>
  <c r="AK349" i="4"/>
  <c r="AJ349" i="4"/>
  <c r="AI349" i="4"/>
  <c r="AH349" i="4"/>
  <c r="AG349" i="4"/>
  <c r="AF349" i="4"/>
  <c r="AE349" i="4"/>
  <c r="AD349" i="4"/>
  <c r="AC349" i="4"/>
  <c r="AB349" i="4"/>
  <c r="AA349" i="4"/>
  <c r="C349" i="4"/>
  <c r="AK348" i="4"/>
  <c r="AJ348" i="4"/>
  <c r="AI348" i="4"/>
  <c r="AH348" i="4"/>
  <c r="AG348" i="4"/>
  <c r="AF348" i="4"/>
  <c r="AE348" i="4"/>
  <c r="AD348" i="4"/>
  <c r="AC348" i="4"/>
  <c r="AB348" i="4"/>
  <c r="AA348" i="4"/>
  <c r="C348" i="4"/>
  <c r="AK347" i="4"/>
  <c r="AJ347" i="4"/>
  <c r="AI347" i="4"/>
  <c r="AH347" i="4"/>
  <c r="AG347" i="4"/>
  <c r="AF347" i="4"/>
  <c r="AE347" i="4"/>
  <c r="AD347" i="4"/>
  <c r="AC347" i="4"/>
  <c r="AB347" i="4"/>
  <c r="AA347" i="4"/>
  <c r="C347" i="4"/>
  <c r="AK346" i="4"/>
  <c r="AJ346" i="4"/>
  <c r="AI346" i="4"/>
  <c r="AH346" i="4"/>
  <c r="AG346" i="4"/>
  <c r="AF346" i="4"/>
  <c r="AE346" i="4"/>
  <c r="AD346" i="4"/>
  <c r="AC346" i="4"/>
  <c r="AB346" i="4"/>
  <c r="AA346" i="4"/>
  <c r="C346" i="4"/>
  <c r="AK345" i="4"/>
  <c r="AJ345" i="4"/>
  <c r="AI345" i="4"/>
  <c r="AH345" i="4"/>
  <c r="AG345" i="4"/>
  <c r="AF345" i="4"/>
  <c r="AE345" i="4"/>
  <c r="AD345" i="4"/>
  <c r="AC345" i="4"/>
  <c r="AB345" i="4"/>
  <c r="AA345" i="4"/>
  <c r="C345" i="4"/>
  <c r="AK344" i="4"/>
  <c r="AJ344" i="4"/>
  <c r="AI344" i="4"/>
  <c r="AH344" i="4"/>
  <c r="AG344" i="4"/>
  <c r="AF344" i="4"/>
  <c r="AE344" i="4"/>
  <c r="AD344" i="4"/>
  <c r="AC344" i="4"/>
  <c r="AB344" i="4"/>
  <c r="AA344" i="4"/>
  <c r="C344" i="4"/>
  <c r="AK343" i="4"/>
  <c r="AJ343" i="4"/>
  <c r="AI343" i="4"/>
  <c r="AH343" i="4"/>
  <c r="AG343" i="4"/>
  <c r="AF343" i="4"/>
  <c r="AE343" i="4"/>
  <c r="AD343" i="4"/>
  <c r="AC343" i="4"/>
  <c r="AB343" i="4"/>
  <c r="AA343" i="4"/>
  <c r="C343" i="4"/>
  <c r="AK342" i="4"/>
  <c r="AJ342" i="4"/>
  <c r="AI342" i="4"/>
  <c r="AH342" i="4"/>
  <c r="AG342" i="4"/>
  <c r="AF342" i="4"/>
  <c r="AE342" i="4"/>
  <c r="AD342" i="4"/>
  <c r="AC342" i="4"/>
  <c r="AB342" i="4"/>
  <c r="AA342" i="4"/>
  <c r="C342" i="4"/>
  <c r="AK341" i="4"/>
  <c r="AJ341" i="4"/>
  <c r="AI341" i="4"/>
  <c r="AH341" i="4"/>
  <c r="AG341" i="4"/>
  <c r="AF341" i="4"/>
  <c r="AE341" i="4"/>
  <c r="AD341" i="4"/>
  <c r="AC341" i="4"/>
  <c r="AB341" i="4"/>
  <c r="AA341" i="4"/>
  <c r="C341" i="4"/>
  <c r="AK340" i="4"/>
  <c r="AJ340" i="4"/>
  <c r="AI340" i="4"/>
  <c r="AH340" i="4"/>
  <c r="AG340" i="4"/>
  <c r="AF340" i="4"/>
  <c r="AE340" i="4"/>
  <c r="AD340" i="4"/>
  <c r="AC340" i="4"/>
  <c r="AB340" i="4"/>
  <c r="AA340" i="4"/>
  <c r="C340" i="4"/>
  <c r="AK339" i="4"/>
  <c r="AJ339" i="4"/>
  <c r="AI339" i="4"/>
  <c r="AH339" i="4"/>
  <c r="AG339" i="4"/>
  <c r="AF339" i="4"/>
  <c r="AE339" i="4"/>
  <c r="AD339" i="4"/>
  <c r="AC339" i="4"/>
  <c r="AB339" i="4"/>
  <c r="AA339" i="4"/>
  <c r="C339" i="4"/>
  <c r="AK338" i="4"/>
  <c r="AJ338" i="4"/>
  <c r="AI338" i="4"/>
  <c r="AH338" i="4"/>
  <c r="AG338" i="4"/>
  <c r="AF338" i="4"/>
  <c r="AE338" i="4"/>
  <c r="AD338" i="4"/>
  <c r="AC338" i="4"/>
  <c r="AB338" i="4"/>
  <c r="AA338" i="4"/>
  <c r="C338" i="4"/>
  <c r="AK337" i="4"/>
  <c r="AJ337" i="4"/>
  <c r="AI337" i="4"/>
  <c r="AH337" i="4"/>
  <c r="AG337" i="4"/>
  <c r="AF337" i="4"/>
  <c r="AE337" i="4"/>
  <c r="AD337" i="4"/>
  <c r="AC337" i="4"/>
  <c r="AB337" i="4"/>
  <c r="AA337" i="4"/>
  <c r="C337" i="4"/>
  <c r="AK336" i="4"/>
  <c r="AJ336" i="4"/>
  <c r="AI336" i="4"/>
  <c r="AH336" i="4"/>
  <c r="AG336" i="4"/>
  <c r="AF336" i="4"/>
  <c r="AE336" i="4"/>
  <c r="AD336" i="4"/>
  <c r="AC336" i="4"/>
  <c r="AB336" i="4"/>
  <c r="AA336" i="4"/>
  <c r="C336" i="4"/>
  <c r="AK335" i="4"/>
  <c r="AJ335" i="4"/>
  <c r="AI335" i="4"/>
  <c r="AH335" i="4"/>
  <c r="AG335" i="4"/>
  <c r="AF335" i="4"/>
  <c r="AE335" i="4"/>
  <c r="AD335" i="4"/>
  <c r="AC335" i="4"/>
  <c r="AB335" i="4"/>
  <c r="AA335" i="4"/>
  <c r="C335" i="4"/>
  <c r="AK334" i="4"/>
  <c r="AJ334" i="4"/>
  <c r="AI334" i="4"/>
  <c r="AH334" i="4"/>
  <c r="AG334" i="4"/>
  <c r="AF334" i="4"/>
  <c r="AE334" i="4"/>
  <c r="AD334" i="4"/>
  <c r="AC334" i="4"/>
  <c r="AB334" i="4"/>
  <c r="AA334" i="4"/>
  <c r="C334" i="4"/>
  <c r="AK333" i="4"/>
  <c r="AJ333" i="4"/>
  <c r="AI333" i="4"/>
  <c r="AH333" i="4"/>
  <c r="AG333" i="4"/>
  <c r="AF333" i="4"/>
  <c r="AE333" i="4"/>
  <c r="AD333" i="4"/>
  <c r="AC333" i="4"/>
  <c r="AB333" i="4"/>
  <c r="AA333" i="4"/>
  <c r="C333" i="4"/>
  <c r="AK332" i="4"/>
  <c r="AJ332" i="4"/>
  <c r="AI332" i="4"/>
  <c r="AH332" i="4"/>
  <c r="AG332" i="4"/>
  <c r="AF332" i="4"/>
  <c r="AE332" i="4"/>
  <c r="AD332" i="4"/>
  <c r="AC332" i="4"/>
  <c r="AB332" i="4"/>
  <c r="AA332" i="4"/>
  <c r="C332" i="4"/>
  <c r="AK331" i="4"/>
  <c r="AJ331" i="4"/>
  <c r="AI331" i="4"/>
  <c r="AH331" i="4"/>
  <c r="AG331" i="4"/>
  <c r="AF331" i="4"/>
  <c r="AE331" i="4"/>
  <c r="AD331" i="4"/>
  <c r="AC331" i="4"/>
  <c r="AB331" i="4"/>
  <c r="AA331" i="4"/>
  <c r="C331" i="4"/>
  <c r="AK330" i="4"/>
  <c r="AJ330" i="4"/>
  <c r="AI330" i="4"/>
  <c r="AH330" i="4"/>
  <c r="AG330" i="4"/>
  <c r="AF330" i="4"/>
  <c r="AE330" i="4"/>
  <c r="AD330" i="4"/>
  <c r="AC330" i="4"/>
  <c r="AB330" i="4"/>
  <c r="AA330" i="4"/>
  <c r="C330" i="4"/>
  <c r="AK329" i="4"/>
  <c r="AJ329" i="4"/>
  <c r="AI329" i="4"/>
  <c r="AH329" i="4"/>
  <c r="AG329" i="4"/>
  <c r="AF329" i="4"/>
  <c r="AE329" i="4"/>
  <c r="AD329" i="4"/>
  <c r="AC329" i="4"/>
  <c r="AB329" i="4"/>
  <c r="AA329" i="4"/>
  <c r="C329" i="4"/>
  <c r="AK328" i="4"/>
  <c r="AJ328" i="4"/>
  <c r="AI328" i="4"/>
  <c r="AH328" i="4"/>
  <c r="AG328" i="4"/>
  <c r="AF328" i="4"/>
  <c r="AE328" i="4"/>
  <c r="AD328" i="4"/>
  <c r="AC328" i="4"/>
  <c r="AB328" i="4"/>
  <c r="AA328" i="4"/>
  <c r="C328" i="4"/>
  <c r="AK327" i="4"/>
  <c r="AJ327" i="4"/>
  <c r="AI327" i="4"/>
  <c r="AH327" i="4"/>
  <c r="AG327" i="4"/>
  <c r="AF327" i="4"/>
  <c r="AE327" i="4"/>
  <c r="AD327" i="4"/>
  <c r="AC327" i="4"/>
  <c r="AB327" i="4"/>
  <c r="AA327" i="4"/>
  <c r="C327" i="4"/>
  <c r="AK326" i="4"/>
  <c r="AJ326" i="4"/>
  <c r="AI326" i="4"/>
  <c r="AH326" i="4"/>
  <c r="AG326" i="4"/>
  <c r="AF326" i="4"/>
  <c r="AE326" i="4"/>
  <c r="AD326" i="4"/>
  <c r="AC326" i="4"/>
  <c r="AB326" i="4"/>
  <c r="AA326" i="4"/>
  <c r="C326" i="4"/>
  <c r="AK325" i="4"/>
  <c r="AJ325" i="4"/>
  <c r="AI325" i="4"/>
  <c r="AH325" i="4"/>
  <c r="AG325" i="4"/>
  <c r="AF325" i="4"/>
  <c r="AE325" i="4"/>
  <c r="AD325" i="4"/>
  <c r="AC325" i="4"/>
  <c r="AB325" i="4"/>
  <c r="AA325" i="4"/>
  <c r="C325" i="4"/>
  <c r="AK324" i="4"/>
  <c r="AJ324" i="4"/>
  <c r="AI324" i="4"/>
  <c r="AH324" i="4"/>
  <c r="AG324" i="4"/>
  <c r="AF324" i="4"/>
  <c r="AE324" i="4"/>
  <c r="AD324" i="4"/>
  <c r="AC324" i="4"/>
  <c r="AB324" i="4"/>
  <c r="AA324" i="4"/>
  <c r="C324" i="4"/>
  <c r="AK323" i="4"/>
  <c r="AJ323" i="4"/>
  <c r="AI323" i="4"/>
  <c r="AH323" i="4"/>
  <c r="AG323" i="4"/>
  <c r="AF323" i="4"/>
  <c r="AE323" i="4"/>
  <c r="AD323" i="4"/>
  <c r="AC323" i="4"/>
  <c r="AB323" i="4"/>
  <c r="AA323" i="4"/>
  <c r="C323" i="4"/>
  <c r="AK322" i="4"/>
  <c r="AJ322" i="4"/>
  <c r="AI322" i="4"/>
  <c r="AH322" i="4"/>
  <c r="AG322" i="4"/>
  <c r="AF322" i="4"/>
  <c r="AE322" i="4"/>
  <c r="AD322" i="4"/>
  <c r="AC322" i="4"/>
  <c r="AB322" i="4"/>
  <c r="AA322" i="4"/>
  <c r="C322" i="4"/>
  <c r="AK321" i="4"/>
  <c r="AJ321" i="4"/>
  <c r="AI321" i="4"/>
  <c r="AH321" i="4"/>
  <c r="AG321" i="4"/>
  <c r="AF321" i="4"/>
  <c r="AE321" i="4"/>
  <c r="AD321" i="4"/>
  <c r="AC321" i="4"/>
  <c r="AB321" i="4"/>
  <c r="AA321" i="4"/>
  <c r="C321" i="4"/>
  <c r="AK320" i="4"/>
  <c r="AJ320" i="4"/>
  <c r="AI320" i="4"/>
  <c r="AH320" i="4"/>
  <c r="AG320" i="4"/>
  <c r="AF320" i="4"/>
  <c r="AE320" i="4"/>
  <c r="AD320" i="4"/>
  <c r="AC320" i="4"/>
  <c r="AB320" i="4"/>
  <c r="AA320" i="4"/>
  <c r="C320" i="4"/>
  <c r="AK319" i="4"/>
  <c r="AJ319" i="4"/>
  <c r="AI319" i="4"/>
  <c r="AH319" i="4"/>
  <c r="AG319" i="4"/>
  <c r="AF319" i="4"/>
  <c r="AE319" i="4"/>
  <c r="AD319" i="4"/>
  <c r="AC319" i="4"/>
  <c r="AB319" i="4"/>
  <c r="AA319" i="4"/>
  <c r="C319" i="4"/>
  <c r="AK318" i="4"/>
  <c r="AJ318" i="4"/>
  <c r="AI318" i="4"/>
  <c r="AH318" i="4"/>
  <c r="AG318" i="4"/>
  <c r="AF318" i="4"/>
  <c r="AE318" i="4"/>
  <c r="AD318" i="4"/>
  <c r="AC318" i="4"/>
  <c r="AB318" i="4"/>
  <c r="AA318" i="4"/>
  <c r="C318" i="4"/>
  <c r="AK317" i="4"/>
  <c r="AJ317" i="4"/>
  <c r="AI317" i="4"/>
  <c r="AH317" i="4"/>
  <c r="AG317" i="4"/>
  <c r="AF317" i="4"/>
  <c r="AE317" i="4"/>
  <c r="AD317" i="4"/>
  <c r="AC317" i="4"/>
  <c r="AB317" i="4"/>
  <c r="AA317" i="4"/>
  <c r="C317" i="4"/>
  <c r="AK316" i="4"/>
  <c r="AJ316" i="4"/>
  <c r="AI316" i="4"/>
  <c r="AH316" i="4"/>
  <c r="AG316" i="4"/>
  <c r="AF316" i="4"/>
  <c r="AE316" i="4"/>
  <c r="AD316" i="4"/>
  <c r="AC316" i="4"/>
  <c r="AB316" i="4"/>
  <c r="AA316" i="4"/>
  <c r="C316" i="4"/>
  <c r="AK315" i="4"/>
  <c r="AJ315" i="4"/>
  <c r="AI315" i="4"/>
  <c r="AH315" i="4"/>
  <c r="AG315" i="4"/>
  <c r="AF315" i="4"/>
  <c r="AE315" i="4"/>
  <c r="AD315" i="4"/>
  <c r="AC315" i="4"/>
  <c r="AB315" i="4"/>
  <c r="AA315" i="4"/>
  <c r="C315" i="4"/>
  <c r="AK314" i="4"/>
  <c r="AJ314" i="4"/>
  <c r="AI314" i="4"/>
  <c r="AH314" i="4"/>
  <c r="AG314" i="4"/>
  <c r="AF314" i="4"/>
  <c r="AE314" i="4"/>
  <c r="AD314" i="4"/>
  <c r="AC314" i="4"/>
  <c r="AB314" i="4"/>
  <c r="AA314" i="4"/>
  <c r="C314" i="4"/>
  <c r="AK313" i="4"/>
  <c r="AJ313" i="4"/>
  <c r="AI313" i="4"/>
  <c r="AH313" i="4"/>
  <c r="AG313" i="4"/>
  <c r="AF313" i="4"/>
  <c r="AE313" i="4"/>
  <c r="AD313" i="4"/>
  <c r="AC313" i="4"/>
  <c r="AB313" i="4"/>
  <c r="AA313" i="4"/>
  <c r="C313" i="4"/>
  <c r="AK312" i="4"/>
  <c r="AJ312" i="4"/>
  <c r="AI312" i="4"/>
  <c r="AH312" i="4"/>
  <c r="AG312" i="4"/>
  <c r="AF312" i="4"/>
  <c r="AE312" i="4"/>
  <c r="AD312" i="4"/>
  <c r="AC312" i="4"/>
  <c r="AB312" i="4"/>
  <c r="AA312" i="4"/>
  <c r="C312" i="4"/>
  <c r="AK311" i="4"/>
  <c r="AJ311" i="4"/>
  <c r="AI311" i="4"/>
  <c r="AH311" i="4"/>
  <c r="AG311" i="4"/>
  <c r="AF311" i="4"/>
  <c r="AE311" i="4"/>
  <c r="AD311" i="4"/>
  <c r="AC311" i="4"/>
  <c r="AB311" i="4"/>
  <c r="AA311" i="4"/>
  <c r="C311" i="4"/>
  <c r="AK310" i="4"/>
  <c r="AJ310" i="4"/>
  <c r="AI310" i="4"/>
  <c r="AH310" i="4"/>
  <c r="AG310" i="4"/>
  <c r="AF310" i="4"/>
  <c r="AE310" i="4"/>
  <c r="AD310" i="4"/>
  <c r="AC310" i="4"/>
  <c r="AB310" i="4"/>
  <c r="AA310" i="4"/>
  <c r="C310" i="4"/>
  <c r="AK309" i="4"/>
  <c r="AJ309" i="4"/>
  <c r="AI309" i="4"/>
  <c r="AH309" i="4"/>
  <c r="AG309" i="4"/>
  <c r="AF309" i="4"/>
  <c r="AE309" i="4"/>
  <c r="AD309" i="4"/>
  <c r="AC309" i="4"/>
  <c r="AB309" i="4"/>
  <c r="AA309" i="4"/>
  <c r="C309" i="4"/>
  <c r="AK308" i="4"/>
  <c r="AJ308" i="4"/>
  <c r="AI308" i="4"/>
  <c r="AH308" i="4"/>
  <c r="AG308" i="4"/>
  <c r="AF308" i="4"/>
  <c r="AE308" i="4"/>
  <c r="AD308" i="4"/>
  <c r="AC308" i="4"/>
  <c r="AB308" i="4"/>
  <c r="AA308" i="4"/>
  <c r="C308" i="4"/>
  <c r="AK307" i="4"/>
  <c r="AJ307" i="4"/>
  <c r="AI307" i="4"/>
  <c r="AH307" i="4"/>
  <c r="AG307" i="4"/>
  <c r="AF307" i="4"/>
  <c r="AE307" i="4"/>
  <c r="AD307" i="4"/>
  <c r="AC307" i="4"/>
  <c r="AB307" i="4"/>
  <c r="AA307" i="4"/>
  <c r="C307" i="4"/>
  <c r="AK306" i="4"/>
  <c r="AJ306" i="4"/>
  <c r="AI306" i="4"/>
  <c r="AH306" i="4"/>
  <c r="AG306" i="4"/>
  <c r="AF306" i="4"/>
  <c r="AE306" i="4"/>
  <c r="AD306" i="4"/>
  <c r="AC306" i="4"/>
  <c r="AB306" i="4"/>
  <c r="AA306" i="4"/>
  <c r="C306" i="4"/>
  <c r="AK305" i="4"/>
  <c r="AJ305" i="4"/>
  <c r="AI305" i="4"/>
  <c r="AH305" i="4"/>
  <c r="AG305" i="4"/>
  <c r="AF305" i="4"/>
  <c r="AE305" i="4"/>
  <c r="AD305" i="4"/>
  <c r="AC305" i="4"/>
  <c r="AB305" i="4"/>
  <c r="AA305" i="4"/>
  <c r="C305" i="4"/>
  <c r="AK304" i="4"/>
  <c r="AJ304" i="4"/>
  <c r="AI304" i="4"/>
  <c r="AH304" i="4"/>
  <c r="AG304" i="4"/>
  <c r="AF304" i="4"/>
  <c r="AE304" i="4"/>
  <c r="AD304" i="4"/>
  <c r="AC304" i="4"/>
  <c r="AB304" i="4"/>
  <c r="AA304" i="4"/>
  <c r="C304" i="4"/>
  <c r="AK303" i="4"/>
  <c r="AJ303" i="4"/>
  <c r="AI303" i="4"/>
  <c r="AH303" i="4"/>
  <c r="AG303" i="4"/>
  <c r="AF303" i="4"/>
  <c r="AE303" i="4"/>
  <c r="AD303" i="4"/>
  <c r="AC303" i="4"/>
  <c r="AB303" i="4"/>
  <c r="AA303" i="4"/>
  <c r="C303" i="4"/>
  <c r="AK302" i="4"/>
  <c r="AJ302" i="4"/>
  <c r="AI302" i="4"/>
  <c r="AH302" i="4"/>
  <c r="AG302" i="4"/>
  <c r="AF302" i="4"/>
  <c r="AE302" i="4"/>
  <c r="AD302" i="4"/>
  <c r="AC302" i="4"/>
  <c r="AB302" i="4"/>
  <c r="AA302" i="4"/>
  <c r="C302" i="4"/>
  <c r="AK301" i="4"/>
  <c r="AJ301" i="4"/>
  <c r="AI301" i="4"/>
  <c r="AH301" i="4"/>
  <c r="AG301" i="4"/>
  <c r="AF301" i="4"/>
  <c r="AE301" i="4"/>
  <c r="AD301" i="4"/>
  <c r="AC301" i="4"/>
  <c r="AB301" i="4"/>
  <c r="AA301" i="4"/>
  <c r="C301" i="4"/>
  <c r="AK300" i="4"/>
  <c r="AJ300" i="4"/>
  <c r="AI300" i="4"/>
  <c r="AH300" i="4"/>
  <c r="AG300" i="4"/>
  <c r="AF300" i="4"/>
  <c r="AE300" i="4"/>
  <c r="AD300" i="4"/>
  <c r="AC300" i="4"/>
  <c r="AB300" i="4"/>
  <c r="AA300" i="4"/>
  <c r="C300" i="4"/>
  <c r="AK299" i="4"/>
  <c r="AJ299" i="4"/>
  <c r="AI299" i="4"/>
  <c r="AH299" i="4"/>
  <c r="AG299" i="4"/>
  <c r="AF299" i="4"/>
  <c r="AE299" i="4"/>
  <c r="AD299" i="4"/>
  <c r="AC299" i="4"/>
  <c r="AB299" i="4"/>
  <c r="AA299" i="4"/>
  <c r="C299" i="4"/>
  <c r="AK298" i="4"/>
  <c r="AJ298" i="4"/>
  <c r="AI298" i="4"/>
  <c r="AH298" i="4"/>
  <c r="AG298" i="4"/>
  <c r="AF298" i="4"/>
  <c r="AE298" i="4"/>
  <c r="AD298" i="4"/>
  <c r="AC298" i="4"/>
  <c r="AB298" i="4"/>
  <c r="AA298" i="4"/>
  <c r="C298" i="4"/>
  <c r="AK297" i="4"/>
  <c r="AJ297" i="4"/>
  <c r="AI297" i="4"/>
  <c r="AH297" i="4"/>
  <c r="AG297" i="4"/>
  <c r="AF297" i="4"/>
  <c r="AE297" i="4"/>
  <c r="AD297" i="4"/>
  <c r="AC297" i="4"/>
  <c r="AB297" i="4"/>
  <c r="AA297" i="4"/>
  <c r="C297" i="4"/>
  <c r="AK296" i="4"/>
  <c r="AJ296" i="4"/>
  <c r="AI296" i="4"/>
  <c r="AH296" i="4"/>
  <c r="AG296" i="4"/>
  <c r="AF296" i="4"/>
  <c r="AE296" i="4"/>
  <c r="AD296" i="4"/>
  <c r="AC296" i="4"/>
  <c r="AB296" i="4"/>
  <c r="AA296" i="4"/>
  <c r="C296" i="4"/>
  <c r="AK295" i="4"/>
  <c r="AJ295" i="4"/>
  <c r="AI295" i="4"/>
  <c r="AH295" i="4"/>
  <c r="AG295" i="4"/>
  <c r="AF295" i="4"/>
  <c r="AE295" i="4"/>
  <c r="AD295" i="4"/>
  <c r="AC295" i="4"/>
  <c r="AB295" i="4"/>
  <c r="AA295" i="4"/>
  <c r="C295" i="4"/>
  <c r="AK294" i="4"/>
  <c r="AJ294" i="4"/>
  <c r="AI294" i="4"/>
  <c r="AH294" i="4"/>
  <c r="AG294" i="4"/>
  <c r="AF294" i="4"/>
  <c r="AE294" i="4"/>
  <c r="AD294" i="4"/>
  <c r="AC294" i="4"/>
  <c r="AB294" i="4"/>
  <c r="AA294" i="4"/>
  <c r="C294" i="4"/>
  <c r="AK293" i="4"/>
  <c r="AJ293" i="4"/>
  <c r="AI293" i="4"/>
  <c r="AH293" i="4"/>
  <c r="AG293" i="4"/>
  <c r="AF293" i="4"/>
  <c r="AE293" i="4"/>
  <c r="AD293" i="4"/>
  <c r="AC293" i="4"/>
  <c r="AB293" i="4"/>
  <c r="AA293" i="4"/>
  <c r="C293" i="4"/>
  <c r="AK292" i="4"/>
  <c r="AJ292" i="4"/>
  <c r="AI292" i="4"/>
  <c r="AH292" i="4"/>
  <c r="AG292" i="4"/>
  <c r="AF292" i="4"/>
  <c r="AE292" i="4"/>
  <c r="AD292" i="4"/>
  <c r="AC292" i="4"/>
  <c r="AB292" i="4"/>
  <c r="AA292" i="4"/>
  <c r="C292" i="4"/>
  <c r="AK291" i="4"/>
  <c r="AJ291" i="4"/>
  <c r="AI291" i="4"/>
  <c r="AH291" i="4"/>
  <c r="AG291" i="4"/>
  <c r="AF291" i="4"/>
  <c r="AE291" i="4"/>
  <c r="AD291" i="4"/>
  <c r="AC291" i="4"/>
  <c r="AB291" i="4"/>
  <c r="AA291" i="4"/>
  <c r="C291" i="4"/>
  <c r="AK290" i="4"/>
  <c r="AJ290" i="4"/>
  <c r="AI290" i="4"/>
  <c r="AH290" i="4"/>
  <c r="AG290" i="4"/>
  <c r="AF290" i="4"/>
  <c r="AE290" i="4"/>
  <c r="AD290" i="4"/>
  <c r="AC290" i="4"/>
  <c r="AB290" i="4"/>
  <c r="AA290" i="4"/>
  <c r="C290" i="4"/>
  <c r="AK289" i="4"/>
  <c r="AJ289" i="4"/>
  <c r="AI289" i="4"/>
  <c r="AH289" i="4"/>
  <c r="AG289" i="4"/>
  <c r="AF289" i="4"/>
  <c r="AE289" i="4"/>
  <c r="AD289" i="4"/>
  <c r="AC289" i="4"/>
  <c r="AB289" i="4"/>
  <c r="AA289" i="4"/>
  <c r="C289" i="4"/>
  <c r="AK288" i="4"/>
  <c r="AJ288" i="4"/>
  <c r="AI288" i="4"/>
  <c r="AH288" i="4"/>
  <c r="AG288" i="4"/>
  <c r="AF288" i="4"/>
  <c r="AE288" i="4"/>
  <c r="AD288" i="4"/>
  <c r="AC288" i="4"/>
  <c r="AB288" i="4"/>
  <c r="AA288" i="4"/>
  <c r="C288" i="4"/>
  <c r="AK287" i="4"/>
  <c r="AJ287" i="4"/>
  <c r="AI287" i="4"/>
  <c r="AH287" i="4"/>
  <c r="AG287" i="4"/>
  <c r="AF287" i="4"/>
  <c r="AE287" i="4"/>
  <c r="AD287" i="4"/>
  <c r="AC287" i="4"/>
  <c r="AB287" i="4"/>
  <c r="AA287" i="4"/>
  <c r="C287" i="4"/>
  <c r="AK286" i="4"/>
  <c r="AJ286" i="4"/>
  <c r="AI286" i="4"/>
  <c r="AH286" i="4"/>
  <c r="AG286" i="4"/>
  <c r="AF286" i="4"/>
  <c r="AE286" i="4"/>
  <c r="AD286" i="4"/>
  <c r="AC286" i="4"/>
  <c r="AB286" i="4"/>
  <c r="AA286" i="4"/>
  <c r="C286" i="4"/>
  <c r="AK285" i="4"/>
  <c r="AJ285" i="4"/>
  <c r="AI285" i="4"/>
  <c r="AH285" i="4"/>
  <c r="AG285" i="4"/>
  <c r="AF285" i="4"/>
  <c r="AE285" i="4"/>
  <c r="AD285" i="4"/>
  <c r="AC285" i="4"/>
  <c r="AB285" i="4"/>
  <c r="AA285" i="4"/>
  <c r="C285" i="4"/>
  <c r="AK284" i="4"/>
  <c r="AJ284" i="4"/>
  <c r="AI284" i="4"/>
  <c r="AH284" i="4"/>
  <c r="AG284" i="4"/>
  <c r="AF284" i="4"/>
  <c r="AE284" i="4"/>
  <c r="AD284" i="4"/>
  <c r="AC284" i="4"/>
  <c r="AB284" i="4"/>
  <c r="AA284" i="4"/>
  <c r="C284" i="4"/>
  <c r="AK283" i="4"/>
  <c r="AJ283" i="4"/>
  <c r="AI283" i="4"/>
  <c r="AH283" i="4"/>
  <c r="AG283" i="4"/>
  <c r="AF283" i="4"/>
  <c r="AE283" i="4"/>
  <c r="AD283" i="4"/>
  <c r="AC283" i="4"/>
  <c r="AB283" i="4"/>
  <c r="AA283" i="4"/>
  <c r="C283" i="4"/>
  <c r="AK282" i="4"/>
  <c r="AJ282" i="4"/>
  <c r="AI282" i="4"/>
  <c r="AH282" i="4"/>
  <c r="AG282" i="4"/>
  <c r="AF282" i="4"/>
  <c r="AE282" i="4"/>
  <c r="AD282" i="4"/>
  <c r="AC282" i="4"/>
  <c r="AB282" i="4"/>
  <c r="AA282" i="4"/>
  <c r="C282" i="4"/>
  <c r="AK281" i="4"/>
  <c r="AJ281" i="4"/>
  <c r="AI281" i="4"/>
  <c r="AH281" i="4"/>
  <c r="AG281" i="4"/>
  <c r="AF281" i="4"/>
  <c r="AE281" i="4"/>
  <c r="AD281" i="4"/>
  <c r="AC281" i="4"/>
  <c r="AB281" i="4"/>
  <c r="AA281" i="4"/>
  <c r="C281" i="4"/>
  <c r="AK280" i="4"/>
  <c r="AJ280" i="4"/>
  <c r="AI280" i="4"/>
  <c r="AH280" i="4"/>
  <c r="AG280" i="4"/>
  <c r="AF280" i="4"/>
  <c r="AE280" i="4"/>
  <c r="AD280" i="4"/>
  <c r="AC280" i="4"/>
  <c r="AB280" i="4"/>
  <c r="AA280" i="4"/>
  <c r="C280" i="4"/>
  <c r="AK279" i="4"/>
  <c r="AJ279" i="4"/>
  <c r="AI279" i="4"/>
  <c r="AH279" i="4"/>
  <c r="AG279" i="4"/>
  <c r="AF279" i="4"/>
  <c r="AE279" i="4"/>
  <c r="AD279" i="4"/>
  <c r="AC279" i="4"/>
  <c r="AB279" i="4"/>
  <c r="AA279" i="4"/>
  <c r="C279" i="4"/>
  <c r="AK278" i="4"/>
  <c r="AJ278" i="4"/>
  <c r="AI278" i="4"/>
  <c r="AH278" i="4"/>
  <c r="AG278" i="4"/>
  <c r="AF278" i="4"/>
  <c r="AE278" i="4"/>
  <c r="AD278" i="4"/>
  <c r="AC278" i="4"/>
  <c r="AB278" i="4"/>
  <c r="AA278" i="4"/>
  <c r="C278" i="4"/>
  <c r="AK277" i="4"/>
  <c r="AJ277" i="4"/>
  <c r="AI277" i="4"/>
  <c r="AH277" i="4"/>
  <c r="AG277" i="4"/>
  <c r="AF277" i="4"/>
  <c r="AE277" i="4"/>
  <c r="AD277" i="4"/>
  <c r="AC277" i="4"/>
  <c r="AB277" i="4"/>
  <c r="AA277" i="4"/>
  <c r="C277" i="4"/>
  <c r="AK276" i="4"/>
  <c r="AJ276" i="4"/>
  <c r="AI276" i="4"/>
  <c r="AH276" i="4"/>
  <c r="AG276" i="4"/>
  <c r="AF276" i="4"/>
  <c r="AE276" i="4"/>
  <c r="AD276" i="4"/>
  <c r="AC276" i="4"/>
  <c r="AB276" i="4"/>
  <c r="AA276" i="4"/>
  <c r="C276" i="4"/>
  <c r="AK275" i="4"/>
  <c r="AJ275" i="4"/>
  <c r="AI275" i="4"/>
  <c r="AH275" i="4"/>
  <c r="AG275" i="4"/>
  <c r="AF275" i="4"/>
  <c r="AE275" i="4"/>
  <c r="AD275" i="4"/>
  <c r="AC275" i="4"/>
  <c r="AB275" i="4"/>
  <c r="AA275" i="4"/>
  <c r="C275" i="4"/>
  <c r="AK274" i="4"/>
  <c r="AJ274" i="4"/>
  <c r="AI274" i="4"/>
  <c r="AH274" i="4"/>
  <c r="AG274" i="4"/>
  <c r="AF274" i="4"/>
  <c r="AE274" i="4"/>
  <c r="AD274" i="4"/>
  <c r="AC274" i="4"/>
  <c r="AB274" i="4"/>
  <c r="AA274" i="4"/>
  <c r="C274" i="4"/>
  <c r="AK273" i="4"/>
  <c r="AJ273" i="4"/>
  <c r="AI273" i="4"/>
  <c r="AH273" i="4"/>
  <c r="AG273" i="4"/>
  <c r="AF273" i="4"/>
  <c r="AE273" i="4"/>
  <c r="AD273" i="4"/>
  <c r="AC273" i="4"/>
  <c r="AB273" i="4"/>
  <c r="AA273" i="4"/>
  <c r="C273" i="4"/>
  <c r="AK272" i="4"/>
  <c r="AJ272" i="4"/>
  <c r="AI272" i="4"/>
  <c r="AH272" i="4"/>
  <c r="AG272" i="4"/>
  <c r="AF272" i="4"/>
  <c r="AE272" i="4"/>
  <c r="AD272" i="4"/>
  <c r="AC272" i="4"/>
  <c r="AB272" i="4"/>
  <c r="AA272" i="4"/>
  <c r="C272" i="4"/>
  <c r="AK271" i="4"/>
  <c r="AJ271" i="4"/>
  <c r="AI271" i="4"/>
  <c r="AH271" i="4"/>
  <c r="AG271" i="4"/>
  <c r="AF271" i="4"/>
  <c r="AE271" i="4"/>
  <c r="AD271" i="4"/>
  <c r="AC271" i="4"/>
  <c r="AB271" i="4"/>
  <c r="AA271" i="4"/>
  <c r="C271" i="4"/>
  <c r="AK270" i="4"/>
  <c r="AJ270" i="4"/>
  <c r="AI270" i="4"/>
  <c r="AH270" i="4"/>
  <c r="AG270" i="4"/>
  <c r="AF270" i="4"/>
  <c r="AE270" i="4"/>
  <c r="AD270" i="4"/>
  <c r="AC270" i="4"/>
  <c r="AB270" i="4"/>
  <c r="AA270" i="4"/>
  <c r="C270" i="4"/>
  <c r="AK269" i="4"/>
  <c r="AJ269" i="4"/>
  <c r="AI269" i="4"/>
  <c r="AH269" i="4"/>
  <c r="AG269" i="4"/>
  <c r="AF269" i="4"/>
  <c r="AE269" i="4"/>
  <c r="AD269" i="4"/>
  <c r="AC269" i="4"/>
  <c r="AB269" i="4"/>
  <c r="AA269" i="4"/>
  <c r="C269" i="4"/>
  <c r="AK268" i="4"/>
  <c r="AJ268" i="4"/>
  <c r="AI268" i="4"/>
  <c r="AH268" i="4"/>
  <c r="AG268" i="4"/>
  <c r="AF268" i="4"/>
  <c r="AE268" i="4"/>
  <c r="AD268" i="4"/>
  <c r="AC268" i="4"/>
  <c r="AB268" i="4"/>
  <c r="AA268" i="4"/>
  <c r="C268" i="4"/>
  <c r="AK267" i="4"/>
  <c r="AJ267" i="4"/>
  <c r="AI267" i="4"/>
  <c r="AH267" i="4"/>
  <c r="AG267" i="4"/>
  <c r="AF267" i="4"/>
  <c r="AE267" i="4"/>
  <c r="AD267" i="4"/>
  <c r="AC267" i="4"/>
  <c r="AB267" i="4"/>
  <c r="AA267" i="4"/>
  <c r="C267" i="4"/>
  <c r="AK266" i="4"/>
  <c r="AJ266" i="4"/>
  <c r="AI266" i="4"/>
  <c r="AH266" i="4"/>
  <c r="AG266" i="4"/>
  <c r="AF266" i="4"/>
  <c r="AE266" i="4"/>
  <c r="AD266" i="4"/>
  <c r="AC266" i="4"/>
  <c r="AB266" i="4"/>
  <c r="AA266" i="4"/>
  <c r="C266" i="4"/>
  <c r="AK265" i="4"/>
  <c r="AJ265" i="4"/>
  <c r="AI265" i="4"/>
  <c r="AH265" i="4"/>
  <c r="AG265" i="4"/>
  <c r="AF265" i="4"/>
  <c r="AE265" i="4"/>
  <c r="AD265" i="4"/>
  <c r="AC265" i="4"/>
  <c r="AB265" i="4"/>
  <c r="AA265" i="4"/>
  <c r="C265" i="4"/>
  <c r="AK264" i="4"/>
  <c r="AJ264" i="4"/>
  <c r="AI264" i="4"/>
  <c r="AH264" i="4"/>
  <c r="AG264" i="4"/>
  <c r="AF264" i="4"/>
  <c r="AE264" i="4"/>
  <c r="AD264" i="4"/>
  <c r="AC264" i="4"/>
  <c r="AB264" i="4"/>
  <c r="AA264" i="4"/>
  <c r="C264" i="4"/>
  <c r="AK263" i="4"/>
  <c r="AJ263" i="4"/>
  <c r="AI263" i="4"/>
  <c r="AH263" i="4"/>
  <c r="AG263" i="4"/>
  <c r="AF263" i="4"/>
  <c r="AE263" i="4"/>
  <c r="AD263" i="4"/>
  <c r="AC263" i="4"/>
  <c r="AB263" i="4"/>
  <c r="AA263" i="4"/>
  <c r="C263" i="4"/>
  <c r="AK262" i="4"/>
  <c r="AJ262" i="4"/>
  <c r="AI262" i="4"/>
  <c r="AH262" i="4"/>
  <c r="AG262" i="4"/>
  <c r="AF262" i="4"/>
  <c r="AE262" i="4"/>
  <c r="AD262" i="4"/>
  <c r="AC262" i="4"/>
  <c r="AB262" i="4"/>
  <c r="AA262" i="4"/>
  <c r="C262" i="4"/>
  <c r="AK261" i="4"/>
  <c r="AJ261" i="4"/>
  <c r="AI261" i="4"/>
  <c r="AH261" i="4"/>
  <c r="AG261" i="4"/>
  <c r="AF261" i="4"/>
  <c r="AE261" i="4"/>
  <c r="AD261" i="4"/>
  <c r="AC261" i="4"/>
  <c r="AB261" i="4"/>
  <c r="AA261" i="4"/>
  <c r="C261" i="4"/>
  <c r="AK260" i="4"/>
  <c r="AJ260" i="4"/>
  <c r="AI260" i="4"/>
  <c r="AH260" i="4"/>
  <c r="AG260" i="4"/>
  <c r="AF260" i="4"/>
  <c r="AE260" i="4"/>
  <c r="AD260" i="4"/>
  <c r="AC260" i="4"/>
  <c r="AB260" i="4"/>
  <c r="AA260" i="4"/>
  <c r="C260" i="4"/>
  <c r="AK259" i="4"/>
  <c r="AJ259" i="4"/>
  <c r="AI259" i="4"/>
  <c r="AH259" i="4"/>
  <c r="AG259" i="4"/>
  <c r="AF259" i="4"/>
  <c r="AE259" i="4"/>
  <c r="AD259" i="4"/>
  <c r="AC259" i="4"/>
  <c r="AB259" i="4"/>
  <c r="AA259" i="4"/>
  <c r="C259" i="4"/>
  <c r="AK258" i="4"/>
  <c r="AJ258" i="4"/>
  <c r="AI258" i="4"/>
  <c r="AH258" i="4"/>
  <c r="AG258" i="4"/>
  <c r="AF258" i="4"/>
  <c r="AE258" i="4"/>
  <c r="AD258" i="4"/>
  <c r="AC258" i="4"/>
  <c r="AB258" i="4"/>
  <c r="AA258" i="4"/>
  <c r="C258" i="4"/>
  <c r="AK257" i="4"/>
  <c r="AJ257" i="4"/>
  <c r="AI257" i="4"/>
  <c r="AH257" i="4"/>
  <c r="AG257" i="4"/>
  <c r="AF257" i="4"/>
  <c r="AE257" i="4"/>
  <c r="AD257" i="4"/>
  <c r="AC257" i="4"/>
  <c r="AB257" i="4"/>
  <c r="AA257" i="4"/>
  <c r="C257" i="4"/>
  <c r="AK256" i="4"/>
  <c r="AJ256" i="4"/>
  <c r="AI256" i="4"/>
  <c r="AH256" i="4"/>
  <c r="AG256" i="4"/>
  <c r="AF256" i="4"/>
  <c r="AE256" i="4"/>
  <c r="AD256" i="4"/>
  <c r="AC256" i="4"/>
  <c r="AB256" i="4"/>
  <c r="AA256" i="4"/>
  <c r="C256" i="4"/>
  <c r="AK255" i="4"/>
  <c r="AJ255" i="4"/>
  <c r="AI255" i="4"/>
  <c r="AH255" i="4"/>
  <c r="AG255" i="4"/>
  <c r="AF255" i="4"/>
  <c r="AE255" i="4"/>
  <c r="AD255" i="4"/>
  <c r="AC255" i="4"/>
  <c r="AB255" i="4"/>
  <c r="AA255" i="4"/>
  <c r="C255" i="4"/>
  <c r="AK254" i="4"/>
  <c r="AJ254" i="4"/>
  <c r="AI254" i="4"/>
  <c r="AH254" i="4"/>
  <c r="AG254" i="4"/>
  <c r="AF254" i="4"/>
  <c r="AE254" i="4"/>
  <c r="AD254" i="4"/>
  <c r="AC254" i="4"/>
  <c r="AB254" i="4"/>
  <c r="AA254" i="4"/>
  <c r="C254" i="4"/>
  <c r="AK253" i="4"/>
  <c r="AJ253" i="4"/>
  <c r="AI253" i="4"/>
  <c r="AH253" i="4"/>
  <c r="AG253" i="4"/>
  <c r="AF253" i="4"/>
  <c r="AE253" i="4"/>
  <c r="AD253" i="4"/>
  <c r="AC253" i="4"/>
  <c r="AB253" i="4"/>
  <c r="AA253" i="4"/>
  <c r="C253" i="4"/>
  <c r="AK252" i="4"/>
  <c r="AJ252" i="4"/>
  <c r="AI252" i="4"/>
  <c r="AH252" i="4"/>
  <c r="AG252" i="4"/>
  <c r="AF252" i="4"/>
  <c r="AE252" i="4"/>
  <c r="AD252" i="4"/>
  <c r="AC252" i="4"/>
  <c r="AB252" i="4"/>
  <c r="AA252" i="4"/>
  <c r="C252" i="4"/>
  <c r="AK251" i="4"/>
  <c r="AJ251" i="4"/>
  <c r="AI251" i="4"/>
  <c r="AH251" i="4"/>
  <c r="AG251" i="4"/>
  <c r="AF251" i="4"/>
  <c r="AE251" i="4"/>
  <c r="AD251" i="4"/>
  <c r="AC251" i="4"/>
  <c r="AB251" i="4"/>
  <c r="AA251" i="4"/>
  <c r="C251" i="4"/>
  <c r="AK250" i="4"/>
  <c r="AJ250" i="4"/>
  <c r="AI250" i="4"/>
  <c r="AH250" i="4"/>
  <c r="AG250" i="4"/>
  <c r="AF250" i="4"/>
  <c r="AE250" i="4"/>
  <c r="AD250" i="4"/>
  <c r="AC250" i="4"/>
  <c r="AB250" i="4"/>
  <c r="AA250" i="4"/>
  <c r="C250" i="4"/>
  <c r="AK249" i="4"/>
  <c r="AJ249" i="4"/>
  <c r="AI249" i="4"/>
  <c r="AH249" i="4"/>
  <c r="AG249" i="4"/>
  <c r="AF249" i="4"/>
  <c r="AE249" i="4"/>
  <c r="AD249" i="4"/>
  <c r="AC249" i="4"/>
  <c r="AB249" i="4"/>
  <c r="AA249" i="4"/>
  <c r="C249" i="4"/>
  <c r="AK248" i="4"/>
  <c r="AJ248" i="4"/>
  <c r="AI248" i="4"/>
  <c r="AH248" i="4"/>
  <c r="AG248" i="4"/>
  <c r="AF248" i="4"/>
  <c r="AE248" i="4"/>
  <c r="AD248" i="4"/>
  <c r="AC248" i="4"/>
  <c r="AB248" i="4"/>
  <c r="AA248" i="4"/>
  <c r="C248" i="4"/>
  <c r="AK247" i="4"/>
  <c r="AJ247" i="4"/>
  <c r="AI247" i="4"/>
  <c r="AH247" i="4"/>
  <c r="AG247" i="4"/>
  <c r="AF247" i="4"/>
  <c r="AE247" i="4"/>
  <c r="AD247" i="4"/>
  <c r="AC247" i="4"/>
  <c r="AB247" i="4"/>
  <c r="AA247" i="4"/>
  <c r="C247" i="4"/>
  <c r="AK246" i="4"/>
  <c r="AJ246" i="4"/>
  <c r="AI246" i="4"/>
  <c r="AH246" i="4"/>
  <c r="AG246" i="4"/>
  <c r="AF246" i="4"/>
  <c r="AE246" i="4"/>
  <c r="AD246" i="4"/>
  <c r="AC246" i="4"/>
  <c r="AB246" i="4"/>
  <c r="AA246" i="4"/>
  <c r="C246" i="4"/>
  <c r="AK245" i="4"/>
  <c r="AJ245" i="4"/>
  <c r="AI245" i="4"/>
  <c r="AH245" i="4"/>
  <c r="AG245" i="4"/>
  <c r="AF245" i="4"/>
  <c r="AE245" i="4"/>
  <c r="AD245" i="4"/>
  <c r="AC245" i="4"/>
  <c r="AB245" i="4"/>
  <c r="AA245" i="4"/>
  <c r="C245" i="4"/>
  <c r="AK244" i="4"/>
  <c r="AJ244" i="4"/>
  <c r="AI244" i="4"/>
  <c r="AH244" i="4"/>
  <c r="AG244" i="4"/>
  <c r="AF244" i="4"/>
  <c r="AE244" i="4"/>
  <c r="AD244" i="4"/>
  <c r="AC244" i="4"/>
  <c r="AB244" i="4"/>
  <c r="AA244" i="4"/>
  <c r="C244" i="4"/>
  <c r="AK243" i="4"/>
  <c r="AJ243" i="4"/>
  <c r="AI243" i="4"/>
  <c r="AH243" i="4"/>
  <c r="AG243" i="4"/>
  <c r="AF243" i="4"/>
  <c r="AE243" i="4"/>
  <c r="AD243" i="4"/>
  <c r="AC243" i="4"/>
  <c r="AB243" i="4"/>
  <c r="AA243" i="4"/>
  <c r="C243" i="4"/>
  <c r="AK242" i="4"/>
  <c r="AJ242" i="4"/>
  <c r="AI242" i="4"/>
  <c r="AH242" i="4"/>
  <c r="AG242" i="4"/>
  <c r="AF242" i="4"/>
  <c r="AE242" i="4"/>
  <c r="AD242" i="4"/>
  <c r="AC242" i="4"/>
  <c r="AB242" i="4"/>
  <c r="AA242" i="4"/>
  <c r="C242" i="4"/>
  <c r="AK241" i="4"/>
  <c r="AJ241" i="4"/>
  <c r="AI241" i="4"/>
  <c r="AH241" i="4"/>
  <c r="AG241" i="4"/>
  <c r="AF241" i="4"/>
  <c r="AE241" i="4"/>
  <c r="AD241" i="4"/>
  <c r="AC241" i="4"/>
  <c r="AB241" i="4"/>
  <c r="AA241" i="4"/>
  <c r="C241" i="4"/>
  <c r="AK240" i="4"/>
  <c r="AJ240" i="4"/>
  <c r="AI240" i="4"/>
  <c r="AH240" i="4"/>
  <c r="AG240" i="4"/>
  <c r="AF240" i="4"/>
  <c r="AE240" i="4"/>
  <c r="AD240" i="4"/>
  <c r="AC240" i="4"/>
  <c r="AB240" i="4"/>
  <c r="AA240" i="4"/>
  <c r="C240" i="4"/>
  <c r="AK239" i="4"/>
  <c r="AJ239" i="4"/>
  <c r="AI239" i="4"/>
  <c r="AH239" i="4"/>
  <c r="AG239" i="4"/>
  <c r="AF239" i="4"/>
  <c r="AE239" i="4"/>
  <c r="AD239" i="4"/>
  <c r="AC239" i="4"/>
  <c r="AB239" i="4"/>
  <c r="AA239" i="4"/>
  <c r="C239" i="4"/>
  <c r="AK238" i="4"/>
  <c r="AJ238" i="4"/>
  <c r="AI238" i="4"/>
  <c r="AH238" i="4"/>
  <c r="AG238" i="4"/>
  <c r="AF238" i="4"/>
  <c r="AE238" i="4"/>
  <c r="AD238" i="4"/>
  <c r="AC238" i="4"/>
  <c r="AB238" i="4"/>
  <c r="AA238" i="4"/>
  <c r="C238" i="4"/>
  <c r="AK237" i="4"/>
  <c r="AJ237" i="4"/>
  <c r="AI237" i="4"/>
  <c r="AH237" i="4"/>
  <c r="AG237" i="4"/>
  <c r="AF237" i="4"/>
  <c r="AE237" i="4"/>
  <c r="AD237" i="4"/>
  <c r="AC237" i="4"/>
  <c r="AB237" i="4"/>
  <c r="AA237" i="4"/>
  <c r="C237" i="4"/>
  <c r="AK236" i="4"/>
  <c r="AJ236" i="4"/>
  <c r="AI236" i="4"/>
  <c r="AH236" i="4"/>
  <c r="AG236" i="4"/>
  <c r="AF236" i="4"/>
  <c r="AE236" i="4"/>
  <c r="AD236" i="4"/>
  <c r="AC236" i="4"/>
  <c r="AB236" i="4"/>
  <c r="AA236" i="4"/>
  <c r="C236" i="4"/>
  <c r="AK235" i="4"/>
  <c r="AJ235" i="4"/>
  <c r="AI235" i="4"/>
  <c r="AH235" i="4"/>
  <c r="AG235" i="4"/>
  <c r="AF235" i="4"/>
  <c r="AE235" i="4"/>
  <c r="AD235" i="4"/>
  <c r="AC235" i="4"/>
  <c r="AB235" i="4"/>
  <c r="AA235" i="4"/>
  <c r="C235" i="4"/>
  <c r="AK234" i="4"/>
  <c r="AJ234" i="4"/>
  <c r="AI234" i="4"/>
  <c r="AH234" i="4"/>
  <c r="AG234" i="4"/>
  <c r="AF234" i="4"/>
  <c r="AE234" i="4"/>
  <c r="AD234" i="4"/>
  <c r="AC234" i="4"/>
  <c r="AB234" i="4"/>
  <c r="AA234" i="4"/>
  <c r="C234" i="4"/>
  <c r="AK233" i="4"/>
  <c r="AJ233" i="4"/>
  <c r="AI233" i="4"/>
  <c r="AH233" i="4"/>
  <c r="AG233" i="4"/>
  <c r="AF233" i="4"/>
  <c r="AE233" i="4"/>
  <c r="AD233" i="4"/>
  <c r="AC233" i="4"/>
  <c r="AB233" i="4"/>
  <c r="AA233" i="4"/>
  <c r="C233" i="4"/>
  <c r="AK232" i="4"/>
  <c r="AJ232" i="4"/>
  <c r="AI232" i="4"/>
  <c r="AH232" i="4"/>
  <c r="AG232" i="4"/>
  <c r="AF232" i="4"/>
  <c r="AE232" i="4"/>
  <c r="AD232" i="4"/>
  <c r="AC232" i="4"/>
  <c r="AB232" i="4"/>
  <c r="AA232" i="4"/>
  <c r="C232" i="4"/>
  <c r="AK231" i="4"/>
  <c r="AJ231" i="4"/>
  <c r="AI231" i="4"/>
  <c r="AH231" i="4"/>
  <c r="AG231" i="4"/>
  <c r="AF231" i="4"/>
  <c r="AE231" i="4"/>
  <c r="AD231" i="4"/>
  <c r="AC231" i="4"/>
  <c r="AB231" i="4"/>
  <c r="AA231" i="4"/>
  <c r="C231" i="4"/>
  <c r="AK230" i="4"/>
  <c r="AJ230" i="4"/>
  <c r="AI230" i="4"/>
  <c r="AH230" i="4"/>
  <c r="AG230" i="4"/>
  <c r="AF230" i="4"/>
  <c r="AE230" i="4"/>
  <c r="AD230" i="4"/>
  <c r="AC230" i="4"/>
  <c r="AB230" i="4"/>
  <c r="AA230" i="4"/>
  <c r="C230" i="4"/>
  <c r="AK229" i="4"/>
  <c r="AJ229" i="4"/>
  <c r="AI229" i="4"/>
  <c r="AH229" i="4"/>
  <c r="AG229" i="4"/>
  <c r="AF229" i="4"/>
  <c r="AE229" i="4"/>
  <c r="AD229" i="4"/>
  <c r="AC229" i="4"/>
  <c r="AB229" i="4"/>
  <c r="AA229" i="4"/>
  <c r="C229" i="4"/>
  <c r="AK228" i="4"/>
  <c r="AJ228" i="4"/>
  <c r="AI228" i="4"/>
  <c r="AH228" i="4"/>
  <c r="AG228" i="4"/>
  <c r="AF228" i="4"/>
  <c r="AE228" i="4"/>
  <c r="AD228" i="4"/>
  <c r="AC228" i="4"/>
  <c r="AB228" i="4"/>
  <c r="AA228" i="4"/>
  <c r="C228" i="4"/>
  <c r="AK227" i="4"/>
  <c r="AJ227" i="4"/>
  <c r="AI227" i="4"/>
  <c r="AH227" i="4"/>
  <c r="AG227" i="4"/>
  <c r="AF227" i="4"/>
  <c r="AE227" i="4"/>
  <c r="AD227" i="4"/>
  <c r="AC227" i="4"/>
  <c r="AB227" i="4"/>
  <c r="AA227" i="4"/>
  <c r="C227" i="4"/>
  <c r="AK226" i="4"/>
  <c r="AJ226" i="4"/>
  <c r="AI226" i="4"/>
  <c r="AH226" i="4"/>
  <c r="AG226" i="4"/>
  <c r="AF226" i="4"/>
  <c r="AE226" i="4"/>
  <c r="AD226" i="4"/>
  <c r="AC226" i="4"/>
  <c r="AB226" i="4"/>
  <c r="AA226" i="4"/>
  <c r="C226" i="4"/>
  <c r="AK225" i="4"/>
  <c r="AJ225" i="4"/>
  <c r="AI225" i="4"/>
  <c r="AH225" i="4"/>
  <c r="AG225" i="4"/>
  <c r="AF225" i="4"/>
  <c r="AE225" i="4"/>
  <c r="AD225" i="4"/>
  <c r="AC225" i="4"/>
  <c r="AB225" i="4"/>
  <c r="AA225" i="4"/>
  <c r="C225" i="4"/>
  <c r="AK224" i="4"/>
  <c r="AJ224" i="4"/>
  <c r="AI224" i="4"/>
  <c r="AH224" i="4"/>
  <c r="AG224" i="4"/>
  <c r="AF224" i="4"/>
  <c r="AE224" i="4"/>
  <c r="AD224" i="4"/>
  <c r="AC224" i="4"/>
  <c r="AB224" i="4"/>
  <c r="AA224" i="4"/>
  <c r="C224" i="4"/>
  <c r="AK223" i="4"/>
  <c r="AJ223" i="4"/>
  <c r="AI223" i="4"/>
  <c r="AH223" i="4"/>
  <c r="AG223" i="4"/>
  <c r="AF223" i="4"/>
  <c r="AE223" i="4"/>
  <c r="AD223" i="4"/>
  <c r="AC223" i="4"/>
  <c r="AB223" i="4"/>
  <c r="AA223" i="4"/>
  <c r="C223" i="4"/>
  <c r="AK222" i="4"/>
  <c r="AJ222" i="4"/>
  <c r="AI222" i="4"/>
  <c r="AH222" i="4"/>
  <c r="AG222" i="4"/>
  <c r="AF222" i="4"/>
  <c r="AE222" i="4"/>
  <c r="AD222" i="4"/>
  <c r="AC222" i="4"/>
  <c r="AB222" i="4"/>
  <c r="AA222" i="4"/>
  <c r="C222" i="4"/>
  <c r="AK221" i="4"/>
  <c r="AJ221" i="4"/>
  <c r="AI221" i="4"/>
  <c r="AH221" i="4"/>
  <c r="AG221" i="4"/>
  <c r="AF221" i="4"/>
  <c r="AE221" i="4"/>
  <c r="AD221" i="4"/>
  <c r="AC221" i="4"/>
  <c r="AB221" i="4"/>
  <c r="AA221" i="4"/>
  <c r="C221" i="4"/>
  <c r="AK220" i="4"/>
  <c r="AJ220" i="4"/>
  <c r="AI220" i="4"/>
  <c r="AH220" i="4"/>
  <c r="AG220" i="4"/>
  <c r="AF220" i="4"/>
  <c r="AE220" i="4"/>
  <c r="AD220" i="4"/>
  <c r="AC220" i="4"/>
  <c r="AB220" i="4"/>
  <c r="AA220" i="4"/>
  <c r="C220" i="4"/>
  <c r="AK219" i="4"/>
  <c r="AJ219" i="4"/>
  <c r="AI219" i="4"/>
  <c r="AH219" i="4"/>
  <c r="AG219" i="4"/>
  <c r="AF219" i="4"/>
  <c r="AE219" i="4"/>
  <c r="AD219" i="4"/>
  <c r="AC219" i="4"/>
  <c r="AB219" i="4"/>
  <c r="AA219" i="4"/>
  <c r="C219" i="4"/>
  <c r="AK218" i="4"/>
  <c r="AJ218" i="4"/>
  <c r="AI218" i="4"/>
  <c r="AH218" i="4"/>
  <c r="AG218" i="4"/>
  <c r="AF218" i="4"/>
  <c r="AE218" i="4"/>
  <c r="AD218" i="4"/>
  <c r="AC218" i="4"/>
  <c r="AB218" i="4"/>
  <c r="AA218" i="4"/>
  <c r="C218" i="4"/>
  <c r="AK217" i="4"/>
  <c r="AJ217" i="4"/>
  <c r="AI217" i="4"/>
  <c r="AH217" i="4"/>
  <c r="AG217" i="4"/>
  <c r="AF217" i="4"/>
  <c r="AE217" i="4"/>
  <c r="AD217" i="4"/>
  <c r="AC217" i="4"/>
  <c r="AB217" i="4"/>
  <c r="AA217" i="4"/>
  <c r="C217" i="4"/>
  <c r="AK216" i="4"/>
  <c r="AJ216" i="4"/>
  <c r="AI216" i="4"/>
  <c r="AH216" i="4"/>
  <c r="AG216" i="4"/>
  <c r="AF216" i="4"/>
  <c r="AE216" i="4"/>
  <c r="AD216" i="4"/>
  <c r="AC216" i="4"/>
  <c r="AB216" i="4"/>
  <c r="AA216" i="4"/>
  <c r="C216" i="4"/>
  <c r="AK215" i="4"/>
  <c r="AJ215" i="4"/>
  <c r="AI215" i="4"/>
  <c r="AH215" i="4"/>
  <c r="AG215" i="4"/>
  <c r="AF215" i="4"/>
  <c r="AE215" i="4"/>
  <c r="AD215" i="4"/>
  <c r="AC215" i="4"/>
  <c r="AB215" i="4"/>
  <c r="AA215" i="4"/>
  <c r="C215" i="4"/>
  <c r="AK214" i="4"/>
  <c r="AJ214" i="4"/>
  <c r="AI214" i="4"/>
  <c r="AH214" i="4"/>
  <c r="AG214" i="4"/>
  <c r="AF214" i="4"/>
  <c r="AE214" i="4"/>
  <c r="AD214" i="4"/>
  <c r="AC214" i="4"/>
  <c r="AB214" i="4"/>
  <c r="AA214" i="4"/>
  <c r="C214" i="4"/>
  <c r="AK213" i="4"/>
  <c r="AJ213" i="4"/>
  <c r="AI213" i="4"/>
  <c r="AH213" i="4"/>
  <c r="AG213" i="4"/>
  <c r="AF213" i="4"/>
  <c r="AE213" i="4"/>
  <c r="AD213" i="4"/>
  <c r="AC213" i="4"/>
  <c r="AB213" i="4"/>
  <c r="AA213" i="4"/>
  <c r="C213" i="4"/>
  <c r="AK212" i="4"/>
  <c r="AJ212" i="4"/>
  <c r="AI212" i="4"/>
  <c r="AH212" i="4"/>
  <c r="AG212" i="4"/>
  <c r="AF212" i="4"/>
  <c r="AE212" i="4"/>
  <c r="AD212" i="4"/>
  <c r="AC212" i="4"/>
  <c r="AB212" i="4"/>
  <c r="AA212" i="4"/>
  <c r="C212" i="4"/>
  <c r="AK211" i="4"/>
  <c r="AJ211" i="4"/>
  <c r="AI211" i="4"/>
  <c r="AH211" i="4"/>
  <c r="AG211" i="4"/>
  <c r="AF211" i="4"/>
  <c r="AE211" i="4"/>
  <c r="AD211" i="4"/>
  <c r="AC211" i="4"/>
  <c r="AB211" i="4"/>
  <c r="AA211" i="4"/>
  <c r="C211" i="4"/>
  <c r="AK210" i="4"/>
  <c r="AJ210" i="4"/>
  <c r="AI210" i="4"/>
  <c r="AH210" i="4"/>
  <c r="AG210" i="4"/>
  <c r="AF210" i="4"/>
  <c r="AE210" i="4"/>
  <c r="AD210" i="4"/>
  <c r="AC210" i="4"/>
  <c r="AB210" i="4"/>
  <c r="AA210" i="4"/>
  <c r="C210" i="4"/>
  <c r="AK209" i="4"/>
  <c r="AJ209" i="4"/>
  <c r="AI209" i="4"/>
  <c r="AH209" i="4"/>
  <c r="AG209" i="4"/>
  <c r="AF209" i="4"/>
  <c r="AE209" i="4"/>
  <c r="AD209" i="4"/>
  <c r="AC209" i="4"/>
  <c r="AB209" i="4"/>
  <c r="AA209" i="4"/>
  <c r="C209" i="4"/>
  <c r="AK208" i="4"/>
  <c r="AJ208" i="4"/>
  <c r="AI208" i="4"/>
  <c r="AH208" i="4"/>
  <c r="AG208" i="4"/>
  <c r="AF208" i="4"/>
  <c r="AE208" i="4"/>
  <c r="AD208" i="4"/>
  <c r="AC208" i="4"/>
  <c r="AB208" i="4"/>
  <c r="AA208" i="4"/>
  <c r="C208" i="4"/>
  <c r="AK207" i="4"/>
  <c r="AJ207" i="4"/>
  <c r="AI207" i="4"/>
  <c r="AH207" i="4"/>
  <c r="AG207" i="4"/>
  <c r="AF207" i="4"/>
  <c r="AE207" i="4"/>
  <c r="AD207" i="4"/>
  <c r="AC207" i="4"/>
  <c r="AB207" i="4"/>
  <c r="AA207" i="4"/>
  <c r="C207" i="4"/>
  <c r="AK206" i="4"/>
  <c r="AJ206" i="4"/>
  <c r="AI206" i="4"/>
  <c r="AH206" i="4"/>
  <c r="AG206" i="4"/>
  <c r="AF206" i="4"/>
  <c r="AE206" i="4"/>
  <c r="AD206" i="4"/>
  <c r="AC206" i="4"/>
  <c r="AB206" i="4"/>
  <c r="AA206" i="4"/>
  <c r="C206" i="4"/>
  <c r="AK205" i="4"/>
  <c r="AJ205" i="4"/>
  <c r="AI205" i="4"/>
  <c r="AH205" i="4"/>
  <c r="AG205" i="4"/>
  <c r="AF205" i="4"/>
  <c r="AE205" i="4"/>
  <c r="AD205" i="4"/>
  <c r="AC205" i="4"/>
  <c r="AB205" i="4"/>
  <c r="AA205" i="4"/>
  <c r="C205" i="4"/>
  <c r="AK204" i="4"/>
  <c r="AJ204" i="4"/>
  <c r="AI204" i="4"/>
  <c r="AH204" i="4"/>
  <c r="AG204" i="4"/>
  <c r="AF204" i="4"/>
  <c r="AE204" i="4"/>
  <c r="AD204" i="4"/>
  <c r="AC204" i="4"/>
  <c r="AB204" i="4"/>
  <c r="AA204" i="4"/>
  <c r="C204" i="4"/>
  <c r="AK203" i="4"/>
  <c r="AJ203" i="4"/>
  <c r="AI203" i="4"/>
  <c r="AH203" i="4"/>
  <c r="AG203" i="4"/>
  <c r="AF203" i="4"/>
  <c r="AE203" i="4"/>
  <c r="AD203" i="4"/>
  <c r="AC203" i="4"/>
  <c r="AB203" i="4"/>
  <c r="AA203" i="4"/>
  <c r="C203" i="4"/>
  <c r="AK202" i="4"/>
  <c r="AJ202" i="4"/>
  <c r="AI202" i="4"/>
  <c r="AH202" i="4"/>
  <c r="AG202" i="4"/>
  <c r="AF202" i="4"/>
  <c r="AE202" i="4"/>
  <c r="AD202" i="4"/>
  <c r="AC202" i="4"/>
  <c r="AB202" i="4"/>
  <c r="AA202" i="4"/>
  <c r="C202" i="4"/>
  <c r="AK201" i="4"/>
  <c r="AJ201" i="4"/>
  <c r="AI201" i="4"/>
  <c r="AH201" i="4"/>
  <c r="AG201" i="4"/>
  <c r="AF201" i="4"/>
  <c r="AE201" i="4"/>
  <c r="AD201" i="4"/>
  <c r="AC201" i="4"/>
  <c r="AB201" i="4"/>
  <c r="AA201" i="4"/>
  <c r="C201" i="4"/>
  <c r="AK200" i="4"/>
  <c r="AJ200" i="4"/>
  <c r="AI200" i="4"/>
  <c r="AH200" i="4"/>
  <c r="AG200" i="4"/>
  <c r="AF200" i="4"/>
  <c r="AE200" i="4"/>
  <c r="AD200" i="4"/>
  <c r="AC200" i="4"/>
  <c r="AB200" i="4"/>
  <c r="AA200" i="4"/>
  <c r="C200" i="4"/>
  <c r="AK199" i="4"/>
  <c r="AJ199" i="4"/>
  <c r="AI199" i="4"/>
  <c r="AH199" i="4"/>
  <c r="AG199" i="4"/>
  <c r="AF199" i="4"/>
  <c r="AE199" i="4"/>
  <c r="AD199" i="4"/>
  <c r="AC199" i="4"/>
  <c r="AB199" i="4"/>
  <c r="AA199" i="4"/>
  <c r="C199" i="4"/>
  <c r="AK198" i="4"/>
  <c r="AJ198" i="4"/>
  <c r="AI198" i="4"/>
  <c r="AH198" i="4"/>
  <c r="AG198" i="4"/>
  <c r="AF198" i="4"/>
  <c r="AE198" i="4"/>
  <c r="AD198" i="4"/>
  <c r="AC198" i="4"/>
  <c r="AB198" i="4"/>
  <c r="AA198" i="4"/>
  <c r="C198" i="4"/>
  <c r="AK197" i="4"/>
  <c r="AJ197" i="4"/>
  <c r="AI197" i="4"/>
  <c r="AH197" i="4"/>
  <c r="AG197" i="4"/>
  <c r="AF197" i="4"/>
  <c r="AE197" i="4"/>
  <c r="AD197" i="4"/>
  <c r="AC197" i="4"/>
  <c r="AB197" i="4"/>
  <c r="AA197" i="4"/>
  <c r="C197" i="4"/>
  <c r="AK196" i="4"/>
  <c r="AJ196" i="4"/>
  <c r="AI196" i="4"/>
  <c r="AH196" i="4"/>
  <c r="AG196" i="4"/>
  <c r="AF196" i="4"/>
  <c r="AE196" i="4"/>
  <c r="AD196" i="4"/>
  <c r="AC196" i="4"/>
  <c r="AB196" i="4"/>
  <c r="AA196" i="4"/>
  <c r="C196" i="4"/>
  <c r="AK195" i="4"/>
  <c r="AJ195" i="4"/>
  <c r="AI195" i="4"/>
  <c r="AH195" i="4"/>
  <c r="AG195" i="4"/>
  <c r="AF195" i="4"/>
  <c r="AE195" i="4"/>
  <c r="AD195" i="4"/>
  <c r="AC195" i="4"/>
  <c r="AB195" i="4"/>
  <c r="AA195" i="4"/>
  <c r="C195" i="4"/>
  <c r="AK194" i="4"/>
  <c r="AJ194" i="4"/>
  <c r="AI194" i="4"/>
  <c r="AH194" i="4"/>
  <c r="AG194" i="4"/>
  <c r="AF194" i="4"/>
  <c r="AE194" i="4"/>
  <c r="AD194" i="4"/>
  <c r="AC194" i="4"/>
  <c r="AB194" i="4"/>
  <c r="AA194" i="4"/>
  <c r="C194" i="4"/>
  <c r="AK193" i="4"/>
  <c r="AJ193" i="4"/>
  <c r="AI193" i="4"/>
  <c r="AH193" i="4"/>
  <c r="AG193" i="4"/>
  <c r="AF193" i="4"/>
  <c r="AE193" i="4"/>
  <c r="AD193" i="4"/>
  <c r="AC193" i="4"/>
  <c r="AB193" i="4"/>
  <c r="AA193" i="4"/>
  <c r="C193" i="4"/>
  <c r="AK192" i="4"/>
  <c r="AJ192" i="4"/>
  <c r="AI192" i="4"/>
  <c r="AH192" i="4"/>
  <c r="AG192" i="4"/>
  <c r="AF192" i="4"/>
  <c r="AE192" i="4"/>
  <c r="AD192" i="4"/>
  <c r="AC192" i="4"/>
  <c r="AB192" i="4"/>
  <c r="AA192" i="4"/>
  <c r="C192" i="4"/>
  <c r="AK191" i="4"/>
  <c r="AJ191" i="4"/>
  <c r="AI191" i="4"/>
  <c r="AH191" i="4"/>
  <c r="AG191" i="4"/>
  <c r="AF191" i="4"/>
  <c r="AE191" i="4"/>
  <c r="AD191" i="4"/>
  <c r="AC191" i="4"/>
  <c r="AB191" i="4"/>
  <c r="AA191" i="4"/>
  <c r="C191" i="4"/>
  <c r="AK190" i="4"/>
  <c r="AJ190" i="4"/>
  <c r="AI190" i="4"/>
  <c r="AH190" i="4"/>
  <c r="AG190" i="4"/>
  <c r="AF190" i="4"/>
  <c r="AE190" i="4"/>
  <c r="AD190" i="4"/>
  <c r="AC190" i="4"/>
  <c r="AB190" i="4"/>
  <c r="AA190" i="4"/>
  <c r="C190" i="4"/>
  <c r="AK189" i="4"/>
  <c r="AJ189" i="4"/>
  <c r="AI189" i="4"/>
  <c r="AH189" i="4"/>
  <c r="AG189" i="4"/>
  <c r="AF189" i="4"/>
  <c r="AE189" i="4"/>
  <c r="AD189" i="4"/>
  <c r="AC189" i="4"/>
  <c r="AB189" i="4"/>
  <c r="AA189" i="4"/>
  <c r="C189" i="4"/>
  <c r="AK188" i="4"/>
  <c r="AJ188" i="4"/>
  <c r="AI188" i="4"/>
  <c r="AH188" i="4"/>
  <c r="AG188" i="4"/>
  <c r="AF188" i="4"/>
  <c r="AE188" i="4"/>
  <c r="AD188" i="4"/>
  <c r="AC188" i="4"/>
  <c r="AB188" i="4"/>
  <c r="AA188" i="4"/>
  <c r="C188" i="4"/>
  <c r="AK187" i="4"/>
  <c r="AJ187" i="4"/>
  <c r="AI187" i="4"/>
  <c r="AH187" i="4"/>
  <c r="AG187" i="4"/>
  <c r="AF187" i="4"/>
  <c r="AE187" i="4"/>
  <c r="AD187" i="4"/>
  <c r="AC187" i="4"/>
  <c r="AB187" i="4"/>
  <c r="AA187" i="4"/>
  <c r="C187" i="4"/>
  <c r="AK186" i="4"/>
  <c r="AJ186" i="4"/>
  <c r="AI186" i="4"/>
  <c r="AH186" i="4"/>
  <c r="AG186" i="4"/>
  <c r="AF186" i="4"/>
  <c r="AE186" i="4"/>
  <c r="AD186" i="4"/>
  <c r="AC186" i="4"/>
  <c r="AB186" i="4"/>
  <c r="AA186" i="4"/>
  <c r="C186" i="4"/>
  <c r="AK185" i="4"/>
  <c r="AJ185" i="4"/>
  <c r="AI185" i="4"/>
  <c r="AH185" i="4"/>
  <c r="AG185" i="4"/>
  <c r="AF185" i="4"/>
  <c r="AE185" i="4"/>
  <c r="AD185" i="4"/>
  <c r="AC185" i="4"/>
  <c r="AB185" i="4"/>
  <c r="AA185" i="4"/>
  <c r="C185" i="4"/>
  <c r="AK184" i="4"/>
  <c r="AJ184" i="4"/>
  <c r="AI184" i="4"/>
  <c r="AH184" i="4"/>
  <c r="AG184" i="4"/>
  <c r="AF184" i="4"/>
  <c r="AE184" i="4"/>
  <c r="AD184" i="4"/>
  <c r="AC184" i="4"/>
  <c r="AB184" i="4"/>
  <c r="AA184" i="4"/>
  <c r="C184" i="4"/>
  <c r="AK183" i="4"/>
  <c r="AJ183" i="4"/>
  <c r="AI183" i="4"/>
  <c r="AH183" i="4"/>
  <c r="AG183" i="4"/>
  <c r="AF183" i="4"/>
  <c r="AE183" i="4"/>
  <c r="AD183" i="4"/>
  <c r="AC183" i="4"/>
  <c r="AB183" i="4"/>
  <c r="AA183" i="4"/>
  <c r="C183" i="4"/>
  <c r="AK182" i="4"/>
  <c r="AJ182" i="4"/>
  <c r="AI182" i="4"/>
  <c r="AH182" i="4"/>
  <c r="AG182" i="4"/>
  <c r="AF182" i="4"/>
  <c r="AE182" i="4"/>
  <c r="AD182" i="4"/>
  <c r="AC182" i="4"/>
  <c r="AB182" i="4"/>
  <c r="AA182" i="4"/>
  <c r="C182" i="4"/>
  <c r="AK181" i="4"/>
  <c r="AJ181" i="4"/>
  <c r="AI181" i="4"/>
  <c r="AH181" i="4"/>
  <c r="AG181" i="4"/>
  <c r="AF181" i="4"/>
  <c r="AE181" i="4"/>
  <c r="AD181" i="4"/>
  <c r="AC181" i="4"/>
  <c r="AB181" i="4"/>
  <c r="AA181" i="4"/>
  <c r="C181" i="4"/>
  <c r="AK180" i="4"/>
  <c r="AJ180" i="4"/>
  <c r="AI180" i="4"/>
  <c r="AH180" i="4"/>
  <c r="AG180" i="4"/>
  <c r="AF180" i="4"/>
  <c r="AE180" i="4"/>
  <c r="AD180" i="4"/>
  <c r="AC180" i="4"/>
  <c r="AB180" i="4"/>
  <c r="AA180" i="4"/>
  <c r="C180" i="4"/>
  <c r="AK179" i="4"/>
  <c r="AJ179" i="4"/>
  <c r="AI179" i="4"/>
  <c r="AH179" i="4"/>
  <c r="AG179" i="4"/>
  <c r="AF179" i="4"/>
  <c r="AE179" i="4"/>
  <c r="AD179" i="4"/>
  <c r="AC179" i="4"/>
  <c r="AB179" i="4"/>
  <c r="AA179" i="4"/>
  <c r="C179" i="4"/>
  <c r="AK178" i="4"/>
  <c r="AJ178" i="4"/>
  <c r="AI178" i="4"/>
  <c r="AH178" i="4"/>
  <c r="AG178" i="4"/>
  <c r="AF178" i="4"/>
  <c r="AE178" i="4"/>
  <c r="AD178" i="4"/>
  <c r="AC178" i="4"/>
  <c r="AB178" i="4"/>
  <c r="AA178" i="4"/>
  <c r="C178" i="4"/>
  <c r="AK177" i="4"/>
  <c r="AJ177" i="4"/>
  <c r="AI177" i="4"/>
  <c r="AH177" i="4"/>
  <c r="AG177" i="4"/>
  <c r="AF177" i="4"/>
  <c r="AE177" i="4"/>
  <c r="AD177" i="4"/>
  <c r="AC177" i="4"/>
  <c r="AB177" i="4"/>
  <c r="AA177" i="4"/>
  <c r="C177" i="4"/>
  <c r="AK176" i="4"/>
  <c r="AJ176" i="4"/>
  <c r="AI176" i="4"/>
  <c r="AH176" i="4"/>
  <c r="AG176" i="4"/>
  <c r="AF176" i="4"/>
  <c r="AE176" i="4"/>
  <c r="AD176" i="4"/>
  <c r="AC176" i="4"/>
  <c r="AB176" i="4"/>
  <c r="AA176" i="4"/>
  <c r="C176" i="4"/>
  <c r="AK175" i="4"/>
  <c r="AJ175" i="4"/>
  <c r="AI175" i="4"/>
  <c r="AH175" i="4"/>
  <c r="AG175" i="4"/>
  <c r="AF175" i="4"/>
  <c r="AE175" i="4"/>
  <c r="AD175" i="4"/>
  <c r="AC175" i="4"/>
  <c r="AB175" i="4"/>
  <c r="AA175" i="4"/>
  <c r="C175" i="4"/>
  <c r="AK174" i="4"/>
  <c r="AJ174" i="4"/>
  <c r="AI174" i="4"/>
  <c r="AH174" i="4"/>
  <c r="AG174" i="4"/>
  <c r="AF174" i="4"/>
  <c r="AE174" i="4"/>
  <c r="AD174" i="4"/>
  <c r="AC174" i="4"/>
  <c r="AB174" i="4"/>
  <c r="AA174" i="4"/>
  <c r="C174" i="4"/>
  <c r="AK173" i="4"/>
  <c r="AJ173" i="4"/>
  <c r="AI173" i="4"/>
  <c r="AH173" i="4"/>
  <c r="AG173" i="4"/>
  <c r="AF173" i="4"/>
  <c r="AE173" i="4"/>
  <c r="AD173" i="4"/>
  <c r="AC173" i="4"/>
  <c r="AB173" i="4"/>
  <c r="AA173" i="4"/>
  <c r="C173" i="4"/>
  <c r="AK172" i="4"/>
  <c r="AJ172" i="4"/>
  <c r="AI172" i="4"/>
  <c r="AH172" i="4"/>
  <c r="AG172" i="4"/>
  <c r="AF172" i="4"/>
  <c r="AE172" i="4"/>
  <c r="AD172" i="4"/>
  <c r="AC172" i="4"/>
  <c r="AB172" i="4"/>
  <c r="AA172" i="4"/>
  <c r="C172" i="4"/>
  <c r="AK171" i="4"/>
  <c r="AJ171" i="4"/>
  <c r="AI171" i="4"/>
  <c r="AH171" i="4"/>
  <c r="AG171" i="4"/>
  <c r="AF171" i="4"/>
  <c r="AE171" i="4"/>
  <c r="AD171" i="4"/>
  <c r="AC171" i="4"/>
  <c r="AB171" i="4"/>
  <c r="AA171" i="4"/>
  <c r="C171" i="4"/>
  <c r="AK170" i="4"/>
  <c r="AJ170" i="4"/>
  <c r="AI170" i="4"/>
  <c r="AH170" i="4"/>
  <c r="AG170" i="4"/>
  <c r="AF170" i="4"/>
  <c r="AE170" i="4"/>
  <c r="AD170" i="4"/>
  <c r="AC170" i="4"/>
  <c r="AB170" i="4"/>
  <c r="AA170" i="4"/>
  <c r="C170" i="4"/>
  <c r="AK169" i="4"/>
  <c r="AJ169" i="4"/>
  <c r="AI169" i="4"/>
  <c r="AH169" i="4"/>
  <c r="AG169" i="4"/>
  <c r="AF169" i="4"/>
  <c r="AE169" i="4"/>
  <c r="AD169" i="4"/>
  <c r="AC169" i="4"/>
  <c r="AB169" i="4"/>
  <c r="AA169" i="4"/>
  <c r="C169" i="4"/>
  <c r="AK168" i="4"/>
  <c r="AJ168" i="4"/>
  <c r="AI168" i="4"/>
  <c r="AH168" i="4"/>
  <c r="AG168" i="4"/>
  <c r="AF168" i="4"/>
  <c r="AE168" i="4"/>
  <c r="AD168" i="4"/>
  <c r="AC168" i="4"/>
  <c r="AB168" i="4"/>
  <c r="AA168" i="4"/>
  <c r="C168" i="4"/>
  <c r="AK167" i="4"/>
  <c r="AJ167" i="4"/>
  <c r="AI167" i="4"/>
  <c r="AH167" i="4"/>
  <c r="AG167" i="4"/>
  <c r="AF167" i="4"/>
  <c r="AE167" i="4"/>
  <c r="AD167" i="4"/>
  <c r="AC167" i="4"/>
  <c r="AB167" i="4"/>
  <c r="AA167" i="4"/>
  <c r="C167" i="4"/>
  <c r="AK166" i="4"/>
  <c r="AJ166" i="4"/>
  <c r="AI166" i="4"/>
  <c r="AH166" i="4"/>
  <c r="AG166" i="4"/>
  <c r="AF166" i="4"/>
  <c r="AE166" i="4"/>
  <c r="AD166" i="4"/>
  <c r="AC166" i="4"/>
  <c r="AB166" i="4"/>
  <c r="AA166" i="4"/>
  <c r="C166" i="4"/>
  <c r="AK165" i="4"/>
  <c r="AJ165" i="4"/>
  <c r="AI165" i="4"/>
  <c r="AH165" i="4"/>
  <c r="AG165" i="4"/>
  <c r="AF165" i="4"/>
  <c r="AE165" i="4"/>
  <c r="AD165" i="4"/>
  <c r="AC165" i="4"/>
  <c r="AB165" i="4"/>
  <c r="AA165" i="4"/>
  <c r="C165" i="4"/>
  <c r="AK164" i="4"/>
  <c r="AJ164" i="4"/>
  <c r="AI164" i="4"/>
  <c r="AH164" i="4"/>
  <c r="AG164" i="4"/>
  <c r="AF164" i="4"/>
  <c r="AE164" i="4"/>
  <c r="AD164" i="4"/>
  <c r="AC164" i="4"/>
  <c r="AB164" i="4"/>
  <c r="AA164" i="4"/>
  <c r="C164" i="4"/>
  <c r="AK163" i="4"/>
  <c r="AJ163" i="4"/>
  <c r="AI163" i="4"/>
  <c r="AH163" i="4"/>
  <c r="AG163" i="4"/>
  <c r="AF163" i="4"/>
  <c r="AE163" i="4"/>
  <c r="AD163" i="4"/>
  <c r="AC163" i="4"/>
  <c r="AB163" i="4"/>
  <c r="AA163" i="4"/>
  <c r="C163" i="4"/>
  <c r="AK162" i="4"/>
  <c r="AJ162" i="4"/>
  <c r="AI162" i="4"/>
  <c r="AH162" i="4"/>
  <c r="AG162" i="4"/>
  <c r="AF162" i="4"/>
  <c r="AE162" i="4"/>
  <c r="AD162" i="4"/>
  <c r="AC162" i="4"/>
  <c r="AB162" i="4"/>
  <c r="AA162" i="4"/>
  <c r="C162" i="4"/>
  <c r="AK161" i="4"/>
  <c r="AJ161" i="4"/>
  <c r="AI161" i="4"/>
  <c r="AH161" i="4"/>
  <c r="AG161" i="4"/>
  <c r="AF161" i="4"/>
  <c r="AE161" i="4"/>
  <c r="AD161" i="4"/>
  <c r="AC161" i="4"/>
  <c r="AB161" i="4"/>
  <c r="AA161" i="4"/>
  <c r="C161" i="4"/>
  <c r="AK160" i="4"/>
  <c r="AJ160" i="4"/>
  <c r="AI160" i="4"/>
  <c r="AH160" i="4"/>
  <c r="AG160" i="4"/>
  <c r="AF160" i="4"/>
  <c r="AE160" i="4"/>
  <c r="AD160" i="4"/>
  <c r="AC160" i="4"/>
  <c r="AB160" i="4"/>
  <c r="AA160" i="4"/>
  <c r="C160" i="4"/>
  <c r="AK159" i="4"/>
  <c r="AJ159" i="4"/>
  <c r="AI159" i="4"/>
  <c r="AH159" i="4"/>
  <c r="AG159" i="4"/>
  <c r="AF159" i="4"/>
  <c r="AE159" i="4"/>
  <c r="AD159" i="4"/>
  <c r="AC159" i="4"/>
  <c r="AB159" i="4"/>
  <c r="AA159" i="4"/>
  <c r="C159" i="4"/>
  <c r="AK158" i="4"/>
  <c r="AJ158" i="4"/>
  <c r="AI158" i="4"/>
  <c r="AH158" i="4"/>
  <c r="AG158" i="4"/>
  <c r="AF158" i="4"/>
  <c r="AE158" i="4"/>
  <c r="AD158" i="4"/>
  <c r="AC158" i="4"/>
  <c r="AB158" i="4"/>
  <c r="AA158" i="4"/>
  <c r="C158" i="4"/>
  <c r="AK157" i="4"/>
  <c r="AJ157" i="4"/>
  <c r="AI157" i="4"/>
  <c r="AH157" i="4"/>
  <c r="AG157" i="4"/>
  <c r="AF157" i="4"/>
  <c r="AE157" i="4"/>
  <c r="AD157" i="4"/>
  <c r="AC157" i="4"/>
  <c r="AB157" i="4"/>
  <c r="AA157" i="4"/>
  <c r="C157" i="4"/>
  <c r="AK156" i="4"/>
  <c r="AJ156" i="4"/>
  <c r="AI156" i="4"/>
  <c r="AH156" i="4"/>
  <c r="AG156" i="4"/>
  <c r="AF156" i="4"/>
  <c r="AE156" i="4"/>
  <c r="AD156" i="4"/>
  <c r="AC156" i="4"/>
  <c r="AB156" i="4"/>
  <c r="AA156" i="4"/>
  <c r="C156" i="4"/>
  <c r="AK155" i="4"/>
  <c r="AJ155" i="4"/>
  <c r="AI155" i="4"/>
  <c r="AH155" i="4"/>
  <c r="AG155" i="4"/>
  <c r="AF155" i="4"/>
  <c r="AE155" i="4"/>
  <c r="AD155" i="4"/>
  <c r="AC155" i="4"/>
  <c r="AB155" i="4"/>
  <c r="AA155" i="4"/>
  <c r="C155" i="4"/>
  <c r="AK154" i="4"/>
  <c r="AJ154" i="4"/>
  <c r="AI154" i="4"/>
  <c r="AH154" i="4"/>
  <c r="AG154" i="4"/>
  <c r="AF154" i="4"/>
  <c r="AE154" i="4"/>
  <c r="AD154" i="4"/>
  <c r="AC154" i="4"/>
  <c r="AB154" i="4"/>
  <c r="AA154" i="4"/>
  <c r="C154" i="4"/>
  <c r="AK153" i="4"/>
  <c r="AJ153" i="4"/>
  <c r="AI153" i="4"/>
  <c r="AH153" i="4"/>
  <c r="AG153" i="4"/>
  <c r="AF153" i="4"/>
  <c r="AE153" i="4"/>
  <c r="AD153" i="4"/>
  <c r="AC153" i="4"/>
  <c r="AB153" i="4"/>
  <c r="AA153" i="4"/>
  <c r="C153" i="4"/>
  <c r="AK152" i="4"/>
  <c r="AJ152" i="4"/>
  <c r="AI152" i="4"/>
  <c r="AH152" i="4"/>
  <c r="AG152" i="4"/>
  <c r="AF152" i="4"/>
  <c r="AE152" i="4"/>
  <c r="AD152" i="4"/>
  <c r="AC152" i="4"/>
  <c r="AB152" i="4"/>
  <c r="AA152" i="4"/>
  <c r="C152" i="4"/>
  <c r="AK151" i="4"/>
  <c r="AJ151" i="4"/>
  <c r="AI151" i="4"/>
  <c r="AH151" i="4"/>
  <c r="AG151" i="4"/>
  <c r="AF151" i="4"/>
  <c r="AE151" i="4"/>
  <c r="AD151" i="4"/>
  <c r="AC151" i="4"/>
  <c r="AB151" i="4"/>
  <c r="AA151" i="4"/>
  <c r="C151" i="4"/>
  <c r="AK150" i="4"/>
  <c r="AJ150" i="4"/>
  <c r="AI150" i="4"/>
  <c r="AH150" i="4"/>
  <c r="AG150" i="4"/>
  <c r="AF150" i="4"/>
  <c r="AE150" i="4"/>
  <c r="AD150" i="4"/>
  <c r="AC150" i="4"/>
  <c r="AB150" i="4"/>
  <c r="AA150" i="4"/>
  <c r="C150" i="4"/>
  <c r="AK149" i="4"/>
  <c r="AJ149" i="4"/>
  <c r="AI149" i="4"/>
  <c r="AH149" i="4"/>
  <c r="AG149" i="4"/>
  <c r="AF149" i="4"/>
  <c r="AE149" i="4"/>
  <c r="AD149" i="4"/>
  <c r="AC149" i="4"/>
  <c r="AB149" i="4"/>
  <c r="AA149" i="4"/>
  <c r="C149" i="4"/>
  <c r="AK148" i="4"/>
  <c r="AJ148" i="4"/>
  <c r="AI148" i="4"/>
  <c r="AH148" i="4"/>
  <c r="AG148" i="4"/>
  <c r="AF148" i="4"/>
  <c r="AE148" i="4"/>
  <c r="AD148" i="4"/>
  <c r="AC148" i="4"/>
  <c r="AB148" i="4"/>
  <c r="AA148" i="4"/>
  <c r="C148" i="4"/>
  <c r="AK147" i="4"/>
  <c r="AJ147" i="4"/>
  <c r="AI147" i="4"/>
  <c r="AH147" i="4"/>
  <c r="AG147" i="4"/>
  <c r="AF147" i="4"/>
  <c r="AE147" i="4"/>
  <c r="AD147" i="4"/>
  <c r="AC147" i="4"/>
  <c r="AB147" i="4"/>
  <c r="AA147" i="4"/>
  <c r="C147" i="4"/>
  <c r="AK146" i="4"/>
  <c r="AJ146" i="4"/>
  <c r="AI146" i="4"/>
  <c r="AH146" i="4"/>
  <c r="AG146" i="4"/>
  <c r="AF146" i="4"/>
  <c r="AE146" i="4"/>
  <c r="AD146" i="4"/>
  <c r="AC146" i="4"/>
  <c r="AB146" i="4"/>
  <c r="AA146" i="4"/>
  <c r="C146" i="4"/>
  <c r="AK145" i="4"/>
  <c r="AJ145" i="4"/>
  <c r="AI145" i="4"/>
  <c r="AH145" i="4"/>
  <c r="AG145" i="4"/>
  <c r="AF145" i="4"/>
  <c r="AE145" i="4"/>
  <c r="AD145" i="4"/>
  <c r="AC145" i="4"/>
  <c r="AB145" i="4"/>
  <c r="AA145" i="4"/>
  <c r="C145" i="4"/>
  <c r="AK144" i="4"/>
  <c r="AJ144" i="4"/>
  <c r="AI144" i="4"/>
  <c r="AH144" i="4"/>
  <c r="AG144" i="4"/>
  <c r="AF144" i="4"/>
  <c r="AE144" i="4"/>
  <c r="AD144" i="4"/>
  <c r="AC144" i="4"/>
  <c r="AB144" i="4"/>
  <c r="AA144" i="4"/>
  <c r="C144" i="4"/>
  <c r="AK143" i="4"/>
  <c r="AJ143" i="4"/>
  <c r="AI143" i="4"/>
  <c r="AH143" i="4"/>
  <c r="AG143" i="4"/>
  <c r="AF143" i="4"/>
  <c r="AE143" i="4"/>
  <c r="AD143" i="4"/>
  <c r="AC143" i="4"/>
  <c r="AB143" i="4"/>
  <c r="AA143" i="4"/>
  <c r="C143" i="4"/>
  <c r="AK142" i="4"/>
  <c r="AJ142" i="4"/>
  <c r="AI142" i="4"/>
  <c r="AH142" i="4"/>
  <c r="AG142" i="4"/>
  <c r="AF142" i="4"/>
  <c r="AE142" i="4"/>
  <c r="AD142" i="4"/>
  <c r="AC142" i="4"/>
  <c r="AB142" i="4"/>
  <c r="AA142" i="4"/>
  <c r="C142" i="4"/>
  <c r="AK141" i="4"/>
  <c r="AJ141" i="4"/>
  <c r="AI141" i="4"/>
  <c r="AH141" i="4"/>
  <c r="AG141" i="4"/>
  <c r="AF141" i="4"/>
  <c r="AE141" i="4"/>
  <c r="AD141" i="4"/>
  <c r="AC141" i="4"/>
  <c r="AB141" i="4"/>
  <c r="AA141" i="4"/>
  <c r="C141" i="4"/>
  <c r="AK140" i="4"/>
  <c r="AJ140" i="4"/>
  <c r="AI140" i="4"/>
  <c r="AH140" i="4"/>
  <c r="AG140" i="4"/>
  <c r="AF140" i="4"/>
  <c r="AE140" i="4"/>
  <c r="AD140" i="4"/>
  <c r="AC140" i="4"/>
  <c r="AB140" i="4"/>
  <c r="AA140" i="4"/>
  <c r="C140" i="4"/>
  <c r="AK139" i="4"/>
  <c r="AJ139" i="4"/>
  <c r="AI139" i="4"/>
  <c r="AH139" i="4"/>
  <c r="AG139" i="4"/>
  <c r="AF139" i="4"/>
  <c r="AE139" i="4"/>
  <c r="AD139" i="4"/>
  <c r="AC139" i="4"/>
  <c r="AB139" i="4"/>
  <c r="AA139" i="4"/>
  <c r="C139" i="4"/>
  <c r="AK138" i="4"/>
  <c r="AJ138" i="4"/>
  <c r="AI138" i="4"/>
  <c r="AH138" i="4"/>
  <c r="AG138" i="4"/>
  <c r="AF138" i="4"/>
  <c r="AE138" i="4"/>
  <c r="AD138" i="4"/>
  <c r="AC138" i="4"/>
  <c r="AB138" i="4"/>
  <c r="AA138" i="4"/>
  <c r="C138" i="4"/>
  <c r="AK137" i="4"/>
  <c r="AJ137" i="4"/>
  <c r="AI137" i="4"/>
  <c r="AH137" i="4"/>
  <c r="AG137" i="4"/>
  <c r="AF137" i="4"/>
  <c r="AE137" i="4"/>
  <c r="AD137" i="4"/>
  <c r="AC137" i="4"/>
  <c r="AB137" i="4"/>
  <c r="AA137" i="4"/>
  <c r="C137" i="4"/>
  <c r="AK136" i="4"/>
  <c r="AJ136" i="4"/>
  <c r="AI136" i="4"/>
  <c r="AH136" i="4"/>
  <c r="AG136" i="4"/>
  <c r="AF136" i="4"/>
  <c r="AE136" i="4"/>
  <c r="AD136" i="4"/>
  <c r="AC136" i="4"/>
  <c r="AB136" i="4"/>
  <c r="AA136" i="4"/>
  <c r="C136" i="4"/>
  <c r="AK135" i="4"/>
  <c r="AJ135" i="4"/>
  <c r="AI135" i="4"/>
  <c r="AH135" i="4"/>
  <c r="AG135" i="4"/>
  <c r="AF135" i="4"/>
  <c r="AE135" i="4"/>
  <c r="AD135" i="4"/>
  <c r="AC135" i="4"/>
  <c r="AB135" i="4"/>
  <c r="AA135" i="4"/>
  <c r="C135" i="4"/>
  <c r="AK134" i="4"/>
  <c r="AJ134" i="4"/>
  <c r="AI134" i="4"/>
  <c r="AH134" i="4"/>
  <c r="AG134" i="4"/>
  <c r="AF134" i="4"/>
  <c r="AE134" i="4"/>
  <c r="AD134" i="4"/>
  <c r="AC134" i="4"/>
  <c r="AB134" i="4"/>
  <c r="AA134" i="4"/>
  <c r="C134" i="4"/>
  <c r="AK133" i="4"/>
  <c r="AJ133" i="4"/>
  <c r="AI133" i="4"/>
  <c r="AH133" i="4"/>
  <c r="AG133" i="4"/>
  <c r="AF133" i="4"/>
  <c r="AE133" i="4"/>
  <c r="AD133" i="4"/>
  <c r="AC133" i="4"/>
  <c r="AB133" i="4"/>
  <c r="AA133" i="4"/>
  <c r="C133" i="4"/>
  <c r="AK132" i="4"/>
  <c r="AJ132" i="4"/>
  <c r="AI132" i="4"/>
  <c r="AH132" i="4"/>
  <c r="AG132" i="4"/>
  <c r="AF132" i="4"/>
  <c r="AE132" i="4"/>
  <c r="AD132" i="4"/>
  <c r="AC132" i="4"/>
  <c r="AB132" i="4"/>
  <c r="AA132" i="4"/>
  <c r="C132" i="4"/>
  <c r="AK131" i="4"/>
  <c r="AJ131" i="4"/>
  <c r="AI131" i="4"/>
  <c r="AH131" i="4"/>
  <c r="AG131" i="4"/>
  <c r="AF131" i="4"/>
  <c r="AE131" i="4"/>
  <c r="AD131" i="4"/>
  <c r="AC131" i="4"/>
  <c r="AB131" i="4"/>
  <c r="AA131" i="4"/>
  <c r="C131" i="4"/>
  <c r="AK130" i="4"/>
  <c r="AJ130" i="4"/>
  <c r="AI130" i="4"/>
  <c r="AH130" i="4"/>
  <c r="AG130" i="4"/>
  <c r="AF130" i="4"/>
  <c r="AE130" i="4"/>
  <c r="AD130" i="4"/>
  <c r="AC130" i="4"/>
  <c r="AB130" i="4"/>
  <c r="AA130" i="4"/>
  <c r="C130" i="4"/>
  <c r="AK129" i="4"/>
  <c r="AJ129" i="4"/>
  <c r="AI129" i="4"/>
  <c r="AH129" i="4"/>
  <c r="AG129" i="4"/>
  <c r="AF129" i="4"/>
  <c r="AE129" i="4"/>
  <c r="AD129" i="4"/>
  <c r="AC129" i="4"/>
  <c r="AB129" i="4"/>
  <c r="AA129" i="4"/>
  <c r="C129" i="4"/>
  <c r="AK128" i="4"/>
  <c r="AJ128" i="4"/>
  <c r="AI128" i="4"/>
  <c r="AH128" i="4"/>
  <c r="AG128" i="4"/>
  <c r="AF128" i="4"/>
  <c r="AE128" i="4"/>
  <c r="AD128" i="4"/>
  <c r="AC128" i="4"/>
  <c r="AB128" i="4"/>
  <c r="AA128" i="4"/>
  <c r="C128" i="4"/>
  <c r="AK127" i="4"/>
  <c r="AJ127" i="4"/>
  <c r="AI127" i="4"/>
  <c r="AH127" i="4"/>
  <c r="AG127" i="4"/>
  <c r="AF127" i="4"/>
  <c r="AE127" i="4"/>
  <c r="AD127" i="4"/>
  <c r="AC127" i="4"/>
  <c r="AB127" i="4"/>
  <c r="AA127" i="4"/>
  <c r="C127" i="4"/>
  <c r="AK126" i="4"/>
  <c r="AJ126" i="4"/>
  <c r="AI126" i="4"/>
  <c r="AH126" i="4"/>
  <c r="AG126" i="4"/>
  <c r="AF126" i="4"/>
  <c r="AE126" i="4"/>
  <c r="AD126" i="4"/>
  <c r="AC126" i="4"/>
  <c r="AB126" i="4"/>
  <c r="AA126" i="4"/>
  <c r="C126" i="4"/>
  <c r="AK125" i="4"/>
  <c r="AJ125" i="4"/>
  <c r="AI125" i="4"/>
  <c r="AH125" i="4"/>
  <c r="AG125" i="4"/>
  <c r="AF125" i="4"/>
  <c r="AE125" i="4"/>
  <c r="AD125" i="4"/>
  <c r="AC125" i="4"/>
  <c r="AB125" i="4"/>
  <c r="AA125" i="4"/>
  <c r="C125" i="4"/>
  <c r="AK124" i="4"/>
  <c r="AJ124" i="4"/>
  <c r="AI124" i="4"/>
  <c r="AH124" i="4"/>
  <c r="AG124" i="4"/>
  <c r="AF124" i="4"/>
  <c r="AE124" i="4"/>
  <c r="AD124" i="4"/>
  <c r="AC124" i="4"/>
  <c r="AB124" i="4"/>
  <c r="AA124" i="4"/>
  <c r="C124" i="4"/>
  <c r="AK123" i="4"/>
  <c r="AJ123" i="4"/>
  <c r="AI123" i="4"/>
  <c r="AH123" i="4"/>
  <c r="AG123" i="4"/>
  <c r="AF123" i="4"/>
  <c r="AE123" i="4"/>
  <c r="AD123" i="4"/>
  <c r="AC123" i="4"/>
  <c r="AB123" i="4"/>
  <c r="AA123" i="4"/>
  <c r="C123" i="4"/>
  <c r="AK122" i="4"/>
  <c r="AJ122" i="4"/>
  <c r="AI122" i="4"/>
  <c r="AH122" i="4"/>
  <c r="AG122" i="4"/>
  <c r="AF122" i="4"/>
  <c r="AE122" i="4"/>
  <c r="AD122" i="4"/>
  <c r="AC122" i="4"/>
  <c r="AB122" i="4"/>
  <c r="AA122" i="4"/>
  <c r="C122" i="4"/>
  <c r="AK121" i="4"/>
  <c r="AJ121" i="4"/>
  <c r="AI121" i="4"/>
  <c r="AH121" i="4"/>
  <c r="AG121" i="4"/>
  <c r="AF121" i="4"/>
  <c r="AE121" i="4"/>
  <c r="AD121" i="4"/>
  <c r="AC121" i="4"/>
  <c r="AB121" i="4"/>
  <c r="AA121" i="4"/>
  <c r="C121" i="4"/>
  <c r="AK120" i="4"/>
  <c r="AJ120" i="4"/>
  <c r="AI120" i="4"/>
  <c r="AH120" i="4"/>
  <c r="AG120" i="4"/>
  <c r="AF120" i="4"/>
  <c r="AE120" i="4"/>
  <c r="AD120" i="4"/>
  <c r="AC120" i="4"/>
  <c r="AB120" i="4"/>
  <c r="AA120" i="4"/>
  <c r="C120" i="4"/>
  <c r="AK119" i="4"/>
  <c r="AJ119" i="4"/>
  <c r="AI119" i="4"/>
  <c r="AH119" i="4"/>
  <c r="AG119" i="4"/>
  <c r="AF119" i="4"/>
  <c r="AE119" i="4"/>
  <c r="AD119" i="4"/>
  <c r="AC119" i="4"/>
  <c r="AB119" i="4"/>
  <c r="AA119" i="4"/>
  <c r="C119" i="4"/>
  <c r="AK118" i="4"/>
  <c r="AJ118" i="4"/>
  <c r="AI118" i="4"/>
  <c r="AH118" i="4"/>
  <c r="AG118" i="4"/>
  <c r="AF118" i="4"/>
  <c r="AE118" i="4"/>
  <c r="AD118" i="4"/>
  <c r="AC118" i="4"/>
  <c r="AB118" i="4"/>
  <c r="AA118" i="4"/>
  <c r="C118" i="4"/>
  <c r="AK117" i="4"/>
  <c r="AJ117" i="4"/>
  <c r="AI117" i="4"/>
  <c r="AH117" i="4"/>
  <c r="AG117" i="4"/>
  <c r="AF117" i="4"/>
  <c r="AE117" i="4"/>
  <c r="AD117" i="4"/>
  <c r="AC117" i="4"/>
  <c r="AB117" i="4"/>
  <c r="AA117" i="4"/>
  <c r="C117" i="4"/>
  <c r="AK116" i="4"/>
  <c r="AJ116" i="4"/>
  <c r="AI116" i="4"/>
  <c r="AH116" i="4"/>
  <c r="AG116" i="4"/>
  <c r="AF116" i="4"/>
  <c r="AE116" i="4"/>
  <c r="AD116" i="4"/>
  <c r="AC116" i="4"/>
  <c r="AB116" i="4"/>
  <c r="AA116" i="4"/>
  <c r="C116" i="4"/>
  <c r="AK115" i="4"/>
  <c r="AJ115" i="4"/>
  <c r="AI115" i="4"/>
  <c r="AH115" i="4"/>
  <c r="AG115" i="4"/>
  <c r="AF115" i="4"/>
  <c r="AE115" i="4"/>
  <c r="AD115" i="4"/>
  <c r="AC115" i="4"/>
  <c r="AB115" i="4"/>
  <c r="AA115" i="4"/>
  <c r="C115" i="4"/>
  <c r="AK114" i="4"/>
  <c r="AJ114" i="4"/>
  <c r="AI114" i="4"/>
  <c r="AH114" i="4"/>
  <c r="AG114" i="4"/>
  <c r="AF114" i="4"/>
  <c r="AE114" i="4"/>
  <c r="AD114" i="4"/>
  <c r="AC114" i="4"/>
  <c r="AB114" i="4"/>
  <c r="AA114" i="4"/>
  <c r="C114" i="4"/>
  <c r="AK113" i="4"/>
  <c r="AJ113" i="4"/>
  <c r="AI113" i="4"/>
  <c r="AH113" i="4"/>
  <c r="AG113" i="4"/>
  <c r="AF113" i="4"/>
  <c r="AE113" i="4"/>
  <c r="AD113" i="4"/>
  <c r="AC113" i="4"/>
  <c r="AB113" i="4"/>
  <c r="AA113" i="4"/>
  <c r="C113" i="4"/>
  <c r="AK112" i="4"/>
  <c r="AJ112" i="4"/>
  <c r="AI112" i="4"/>
  <c r="AH112" i="4"/>
  <c r="AG112" i="4"/>
  <c r="AF112" i="4"/>
  <c r="AE112" i="4"/>
  <c r="AD112" i="4"/>
  <c r="AC112" i="4"/>
  <c r="AB112" i="4"/>
  <c r="AA112" i="4"/>
  <c r="C112" i="4"/>
  <c r="AK111" i="4"/>
  <c r="AJ111" i="4"/>
  <c r="AI111" i="4"/>
  <c r="AH111" i="4"/>
  <c r="AG111" i="4"/>
  <c r="AF111" i="4"/>
  <c r="AE111" i="4"/>
  <c r="AD111" i="4"/>
  <c r="AC111" i="4"/>
  <c r="AB111" i="4"/>
  <c r="AA111" i="4"/>
  <c r="C111" i="4"/>
  <c r="AK110" i="4"/>
  <c r="AJ110" i="4"/>
  <c r="AI110" i="4"/>
  <c r="AH110" i="4"/>
  <c r="AG110" i="4"/>
  <c r="AF110" i="4"/>
  <c r="AE110" i="4"/>
  <c r="AD110" i="4"/>
  <c r="AC110" i="4"/>
  <c r="AB110" i="4"/>
  <c r="AA110" i="4"/>
  <c r="C110" i="4"/>
  <c r="AK109" i="4"/>
  <c r="AJ109" i="4"/>
  <c r="AI109" i="4"/>
  <c r="AH109" i="4"/>
  <c r="AG109" i="4"/>
  <c r="AF109" i="4"/>
  <c r="AE109" i="4"/>
  <c r="AD109" i="4"/>
  <c r="AC109" i="4"/>
  <c r="AB109" i="4"/>
  <c r="AA109" i="4"/>
  <c r="C109" i="4"/>
  <c r="AK108" i="4"/>
  <c r="AJ108" i="4"/>
  <c r="AI108" i="4"/>
  <c r="AH108" i="4"/>
  <c r="AG108" i="4"/>
  <c r="AF108" i="4"/>
  <c r="AE108" i="4"/>
  <c r="AD108" i="4"/>
  <c r="AC108" i="4"/>
  <c r="AB108" i="4"/>
  <c r="AA108" i="4"/>
  <c r="C108" i="4"/>
  <c r="AK107" i="4"/>
  <c r="AJ107" i="4"/>
  <c r="AI107" i="4"/>
  <c r="AH107" i="4"/>
  <c r="AG107" i="4"/>
  <c r="AF107" i="4"/>
  <c r="AE107" i="4"/>
  <c r="AD107" i="4"/>
  <c r="AC107" i="4"/>
  <c r="AB107" i="4"/>
  <c r="AA107" i="4"/>
  <c r="C107" i="4"/>
  <c r="AK106" i="4"/>
  <c r="AJ106" i="4"/>
  <c r="AI106" i="4"/>
  <c r="AH106" i="4"/>
  <c r="AG106" i="4"/>
  <c r="AF106" i="4"/>
  <c r="AE106" i="4"/>
  <c r="AD106" i="4"/>
  <c r="AC106" i="4"/>
  <c r="AB106" i="4"/>
  <c r="AA106" i="4"/>
  <c r="C106" i="4"/>
  <c r="AK105" i="4"/>
  <c r="AJ105" i="4"/>
  <c r="AI105" i="4"/>
  <c r="AH105" i="4"/>
  <c r="AG105" i="4"/>
  <c r="AF105" i="4"/>
  <c r="AE105" i="4"/>
  <c r="AD105" i="4"/>
  <c r="AC105" i="4"/>
  <c r="AB105" i="4"/>
  <c r="AA105" i="4"/>
  <c r="C105" i="4"/>
  <c r="AK104" i="4"/>
  <c r="AJ104" i="4"/>
  <c r="AI104" i="4"/>
  <c r="AH104" i="4"/>
  <c r="AG104" i="4"/>
  <c r="AF104" i="4"/>
  <c r="AE104" i="4"/>
  <c r="AD104" i="4"/>
  <c r="AC104" i="4"/>
  <c r="AB104" i="4"/>
  <c r="AA104" i="4"/>
  <c r="C104" i="4"/>
  <c r="AK103" i="4"/>
  <c r="AJ103" i="4"/>
  <c r="AI103" i="4"/>
  <c r="AH103" i="4"/>
  <c r="AG103" i="4"/>
  <c r="AF103" i="4"/>
  <c r="AE103" i="4"/>
  <c r="AD103" i="4"/>
  <c r="AC103" i="4"/>
  <c r="AB103" i="4"/>
  <c r="AA103" i="4"/>
  <c r="C103" i="4"/>
  <c r="AK102" i="4"/>
  <c r="AJ102" i="4"/>
  <c r="AI102" i="4"/>
  <c r="AH102" i="4"/>
  <c r="AG102" i="4"/>
  <c r="AF102" i="4"/>
  <c r="AE102" i="4"/>
  <c r="AD102" i="4"/>
  <c r="AC102" i="4"/>
  <c r="AB102" i="4"/>
  <c r="AA102" i="4"/>
  <c r="C102" i="4"/>
  <c r="AK101" i="4"/>
  <c r="AJ101" i="4"/>
  <c r="AI101" i="4"/>
  <c r="AH101" i="4"/>
  <c r="AG101" i="4"/>
  <c r="AF101" i="4"/>
  <c r="AE101" i="4"/>
  <c r="AD101" i="4"/>
  <c r="AC101" i="4"/>
  <c r="AB101" i="4"/>
  <c r="AA101" i="4"/>
  <c r="C101" i="4"/>
  <c r="AK100" i="4"/>
  <c r="AJ100" i="4"/>
  <c r="AI100" i="4"/>
  <c r="AH100" i="4"/>
  <c r="AG100" i="4"/>
  <c r="AF100" i="4"/>
  <c r="AE100" i="4"/>
  <c r="AD100" i="4"/>
  <c r="AC100" i="4"/>
  <c r="AB100" i="4"/>
  <c r="AA100" i="4"/>
  <c r="C100" i="4"/>
  <c r="AK99" i="4"/>
  <c r="AJ99" i="4"/>
  <c r="AI99" i="4"/>
  <c r="AH99" i="4"/>
  <c r="AG99" i="4"/>
  <c r="AF99" i="4"/>
  <c r="AE99" i="4"/>
  <c r="AD99" i="4"/>
  <c r="AC99" i="4"/>
  <c r="AB99" i="4"/>
  <c r="AA99" i="4"/>
  <c r="C99" i="4"/>
  <c r="AK98" i="4"/>
  <c r="AJ98" i="4"/>
  <c r="AI98" i="4"/>
  <c r="AH98" i="4"/>
  <c r="AG98" i="4"/>
  <c r="AF98" i="4"/>
  <c r="AE98" i="4"/>
  <c r="AD98" i="4"/>
  <c r="AC98" i="4"/>
  <c r="AB98" i="4"/>
  <c r="AA98" i="4"/>
  <c r="C98" i="4"/>
  <c r="AK97" i="4"/>
  <c r="AJ97" i="4"/>
  <c r="AI97" i="4"/>
  <c r="AH97" i="4"/>
  <c r="AG97" i="4"/>
  <c r="AF97" i="4"/>
  <c r="AE97" i="4"/>
  <c r="AD97" i="4"/>
  <c r="AC97" i="4"/>
  <c r="AB97" i="4"/>
  <c r="AA97" i="4"/>
  <c r="C97" i="4"/>
  <c r="AK96" i="4"/>
  <c r="AJ96" i="4"/>
  <c r="AI96" i="4"/>
  <c r="AH96" i="4"/>
  <c r="AG96" i="4"/>
  <c r="AF96" i="4"/>
  <c r="AE96" i="4"/>
  <c r="AD96" i="4"/>
  <c r="AC96" i="4"/>
  <c r="AB96" i="4"/>
  <c r="AA96" i="4"/>
  <c r="C96" i="4"/>
  <c r="AK95" i="4"/>
  <c r="AJ95" i="4"/>
  <c r="AI95" i="4"/>
  <c r="AH95" i="4"/>
  <c r="AG95" i="4"/>
  <c r="AF95" i="4"/>
  <c r="AE95" i="4"/>
  <c r="AD95" i="4"/>
  <c r="AC95" i="4"/>
  <c r="AB95" i="4"/>
  <c r="AA95" i="4"/>
  <c r="C95" i="4"/>
  <c r="AK94" i="4"/>
  <c r="AJ94" i="4"/>
  <c r="AI94" i="4"/>
  <c r="AH94" i="4"/>
  <c r="AG94" i="4"/>
  <c r="AF94" i="4"/>
  <c r="AE94" i="4"/>
  <c r="AD94" i="4"/>
  <c r="AC94" i="4"/>
  <c r="AB94" i="4"/>
  <c r="AA94" i="4"/>
  <c r="C94" i="4"/>
  <c r="AK93" i="4"/>
  <c r="AJ93" i="4"/>
  <c r="AI93" i="4"/>
  <c r="AH93" i="4"/>
  <c r="AG93" i="4"/>
  <c r="AF93" i="4"/>
  <c r="AE93" i="4"/>
  <c r="AD93" i="4"/>
  <c r="AC93" i="4"/>
  <c r="AB93" i="4"/>
  <c r="AA93" i="4"/>
  <c r="C93" i="4"/>
  <c r="AK92" i="4"/>
  <c r="AJ92" i="4"/>
  <c r="AI92" i="4"/>
  <c r="AH92" i="4"/>
  <c r="AG92" i="4"/>
  <c r="AF92" i="4"/>
  <c r="AE92" i="4"/>
  <c r="AD92" i="4"/>
  <c r="AC92" i="4"/>
  <c r="AB92" i="4"/>
  <c r="AA92" i="4"/>
  <c r="C92" i="4"/>
  <c r="AK91" i="4"/>
  <c r="AJ91" i="4"/>
  <c r="AI91" i="4"/>
  <c r="AH91" i="4"/>
  <c r="AG91" i="4"/>
  <c r="AF91" i="4"/>
  <c r="AE91" i="4"/>
  <c r="AD91" i="4"/>
  <c r="AC91" i="4"/>
  <c r="AB91" i="4"/>
  <c r="AA91" i="4"/>
  <c r="C91" i="4"/>
  <c r="AK90" i="4"/>
  <c r="AJ90" i="4"/>
  <c r="AI90" i="4"/>
  <c r="AH90" i="4"/>
  <c r="AG90" i="4"/>
  <c r="AF90" i="4"/>
  <c r="AE90" i="4"/>
  <c r="AD90" i="4"/>
  <c r="AC90" i="4"/>
  <c r="AB90" i="4"/>
  <c r="AA90" i="4"/>
  <c r="C90" i="4"/>
  <c r="AK89" i="4"/>
  <c r="AJ89" i="4"/>
  <c r="AI89" i="4"/>
  <c r="AH89" i="4"/>
  <c r="AG89" i="4"/>
  <c r="AF89" i="4"/>
  <c r="AE89" i="4"/>
  <c r="AD89" i="4"/>
  <c r="AC89" i="4"/>
  <c r="AB89" i="4"/>
  <c r="AA89" i="4"/>
  <c r="C89" i="4"/>
  <c r="AK88" i="4"/>
  <c r="AJ88" i="4"/>
  <c r="AI88" i="4"/>
  <c r="AH88" i="4"/>
  <c r="AG88" i="4"/>
  <c r="AF88" i="4"/>
  <c r="AE88" i="4"/>
  <c r="AD88" i="4"/>
  <c r="AC88" i="4"/>
  <c r="AB88" i="4"/>
  <c r="AA88" i="4"/>
  <c r="C88" i="4"/>
  <c r="AK87" i="4"/>
  <c r="AJ87" i="4"/>
  <c r="AI87" i="4"/>
  <c r="AH87" i="4"/>
  <c r="AG87" i="4"/>
  <c r="AF87" i="4"/>
  <c r="AE87" i="4"/>
  <c r="AD87" i="4"/>
  <c r="AC87" i="4"/>
  <c r="AB87" i="4"/>
  <c r="AA87" i="4"/>
  <c r="C87" i="4"/>
  <c r="AK86" i="4"/>
  <c r="AJ86" i="4"/>
  <c r="AI86" i="4"/>
  <c r="AH86" i="4"/>
  <c r="AG86" i="4"/>
  <c r="AF86" i="4"/>
  <c r="AE86" i="4"/>
  <c r="AD86" i="4"/>
  <c r="AC86" i="4"/>
  <c r="AB86" i="4"/>
  <c r="AA86" i="4"/>
  <c r="C86" i="4"/>
  <c r="AK85" i="4"/>
  <c r="AJ85" i="4"/>
  <c r="AI85" i="4"/>
  <c r="AH85" i="4"/>
  <c r="AG85" i="4"/>
  <c r="AF85" i="4"/>
  <c r="AE85" i="4"/>
  <c r="AD85" i="4"/>
  <c r="AC85" i="4"/>
  <c r="AB85" i="4"/>
  <c r="AA85" i="4"/>
  <c r="C85" i="4"/>
  <c r="AK84" i="4"/>
  <c r="AJ84" i="4"/>
  <c r="AI84" i="4"/>
  <c r="AH84" i="4"/>
  <c r="AG84" i="4"/>
  <c r="AF84" i="4"/>
  <c r="AE84" i="4"/>
  <c r="AD84" i="4"/>
  <c r="AC84" i="4"/>
  <c r="AB84" i="4"/>
  <c r="AA84" i="4"/>
  <c r="C84" i="4"/>
  <c r="AK83" i="4"/>
  <c r="AJ83" i="4"/>
  <c r="AI83" i="4"/>
  <c r="AH83" i="4"/>
  <c r="AG83" i="4"/>
  <c r="AF83" i="4"/>
  <c r="AE83" i="4"/>
  <c r="AD83" i="4"/>
  <c r="AC83" i="4"/>
  <c r="AB83" i="4"/>
  <c r="AA83" i="4"/>
  <c r="C83" i="4"/>
  <c r="AK82" i="4"/>
  <c r="AJ82" i="4"/>
  <c r="AI82" i="4"/>
  <c r="AH82" i="4"/>
  <c r="AG82" i="4"/>
  <c r="AF82" i="4"/>
  <c r="AE82" i="4"/>
  <c r="AD82" i="4"/>
  <c r="AC82" i="4"/>
  <c r="AB82" i="4"/>
  <c r="AA82" i="4"/>
  <c r="C82" i="4"/>
  <c r="AK81" i="4"/>
  <c r="AJ81" i="4"/>
  <c r="AI81" i="4"/>
  <c r="AH81" i="4"/>
  <c r="AG81" i="4"/>
  <c r="AF81" i="4"/>
  <c r="AE81" i="4"/>
  <c r="AD81" i="4"/>
  <c r="AC81" i="4"/>
  <c r="AB81" i="4"/>
  <c r="AA81" i="4"/>
  <c r="C81" i="4"/>
  <c r="AK80" i="4"/>
  <c r="AJ80" i="4"/>
  <c r="AI80" i="4"/>
  <c r="AH80" i="4"/>
  <c r="AG80" i="4"/>
  <c r="AF80" i="4"/>
  <c r="AE80" i="4"/>
  <c r="AD80" i="4"/>
  <c r="AC80" i="4"/>
  <c r="AB80" i="4"/>
  <c r="AA80" i="4"/>
  <c r="C80" i="4"/>
  <c r="AK79" i="4"/>
  <c r="AJ79" i="4"/>
  <c r="AI79" i="4"/>
  <c r="AH79" i="4"/>
  <c r="AG79" i="4"/>
  <c r="AF79" i="4"/>
  <c r="AE79" i="4"/>
  <c r="AD79" i="4"/>
  <c r="AC79" i="4"/>
  <c r="AB79" i="4"/>
  <c r="AA79" i="4"/>
  <c r="C79" i="4"/>
  <c r="AK78" i="4"/>
  <c r="AJ78" i="4"/>
  <c r="AI78" i="4"/>
  <c r="AH78" i="4"/>
  <c r="AG78" i="4"/>
  <c r="AF78" i="4"/>
  <c r="AE78" i="4"/>
  <c r="AD78" i="4"/>
  <c r="AC78" i="4"/>
  <c r="AB78" i="4"/>
  <c r="AA78" i="4"/>
  <c r="C78" i="4"/>
  <c r="AK77" i="4"/>
  <c r="AJ77" i="4"/>
  <c r="AI77" i="4"/>
  <c r="AH77" i="4"/>
  <c r="AG77" i="4"/>
  <c r="AF77" i="4"/>
  <c r="AE77" i="4"/>
  <c r="AD77" i="4"/>
  <c r="AC77" i="4"/>
  <c r="AB77" i="4"/>
  <c r="AA77" i="4"/>
  <c r="C77" i="4"/>
  <c r="AK76" i="4"/>
  <c r="AJ76" i="4"/>
  <c r="AI76" i="4"/>
  <c r="AH76" i="4"/>
  <c r="AG76" i="4"/>
  <c r="AF76" i="4"/>
  <c r="AE76" i="4"/>
  <c r="AD76" i="4"/>
  <c r="AC76" i="4"/>
  <c r="AB76" i="4"/>
  <c r="AA76" i="4"/>
  <c r="C76" i="4"/>
  <c r="AK75" i="4"/>
  <c r="AJ75" i="4"/>
  <c r="AI75" i="4"/>
  <c r="AH75" i="4"/>
  <c r="AG75" i="4"/>
  <c r="AF75" i="4"/>
  <c r="AE75" i="4"/>
  <c r="AD75" i="4"/>
  <c r="AC75" i="4"/>
  <c r="AB75" i="4"/>
  <c r="AA75" i="4"/>
  <c r="C75" i="4"/>
  <c r="AK74" i="4"/>
  <c r="AJ74" i="4"/>
  <c r="AI74" i="4"/>
  <c r="AH74" i="4"/>
  <c r="AG74" i="4"/>
  <c r="AF74" i="4"/>
  <c r="AE74" i="4"/>
  <c r="AD74" i="4"/>
  <c r="AC74" i="4"/>
  <c r="AB74" i="4"/>
  <c r="AA74" i="4"/>
  <c r="C74" i="4"/>
  <c r="AK73" i="4"/>
  <c r="AJ73" i="4"/>
  <c r="AI73" i="4"/>
  <c r="AH73" i="4"/>
  <c r="AG73" i="4"/>
  <c r="AF73" i="4"/>
  <c r="AE73" i="4"/>
  <c r="AD73" i="4"/>
  <c r="AC73" i="4"/>
  <c r="AB73" i="4"/>
  <c r="AA73" i="4"/>
  <c r="C73" i="4"/>
  <c r="AK72" i="4"/>
  <c r="AJ72" i="4"/>
  <c r="AI72" i="4"/>
  <c r="AH72" i="4"/>
  <c r="AG72" i="4"/>
  <c r="AF72" i="4"/>
  <c r="AE72" i="4"/>
  <c r="AD72" i="4"/>
  <c r="AC72" i="4"/>
  <c r="AB72" i="4"/>
  <c r="AA72" i="4"/>
  <c r="C72" i="4"/>
  <c r="AK71" i="4"/>
  <c r="AJ71" i="4"/>
  <c r="AI71" i="4"/>
  <c r="AH71" i="4"/>
  <c r="AG71" i="4"/>
  <c r="AF71" i="4"/>
  <c r="AE71" i="4"/>
  <c r="AD71" i="4"/>
  <c r="AC71" i="4"/>
  <c r="AB71" i="4"/>
  <c r="AA71" i="4"/>
  <c r="C71" i="4"/>
  <c r="AK70" i="4"/>
  <c r="AJ70" i="4"/>
  <c r="AI70" i="4"/>
  <c r="AH70" i="4"/>
  <c r="AG70" i="4"/>
  <c r="AF70" i="4"/>
  <c r="AE70" i="4"/>
  <c r="AD70" i="4"/>
  <c r="AC70" i="4"/>
  <c r="AB70" i="4"/>
  <c r="AA70" i="4"/>
  <c r="C70" i="4"/>
  <c r="AK69" i="4"/>
  <c r="AJ69" i="4"/>
  <c r="AI69" i="4"/>
  <c r="AH69" i="4"/>
  <c r="AG69" i="4"/>
  <c r="AF69" i="4"/>
  <c r="AE69" i="4"/>
  <c r="AD69" i="4"/>
  <c r="AC69" i="4"/>
  <c r="AB69" i="4"/>
  <c r="AA69" i="4"/>
  <c r="C69" i="4"/>
  <c r="AK68" i="4"/>
  <c r="AJ68" i="4"/>
  <c r="AI68" i="4"/>
  <c r="AH68" i="4"/>
  <c r="AG68" i="4"/>
  <c r="AF68" i="4"/>
  <c r="AE68" i="4"/>
  <c r="AD68" i="4"/>
  <c r="AC68" i="4"/>
  <c r="AB68" i="4"/>
  <c r="AA68" i="4"/>
  <c r="C68" i="4"/>
  <c r="AK67" i="4"/>
  <c r="AJ67" i="4"/>
  <c r="AI67" i="4"/>
  <c r="AH67" i="4"/>
  <c r="AG67" i="4"/>
  <c r="AF67" i="4"/>
  <c r="AE67" i="4"/>
  <c r="AD67" i="4"/>
  <c r="AC67" i="4"/>
  <c r="AB67" i="4"/>
  <c r="AA67" i="4"/>
  <c r="C67" i="4"/>
  <c r="AK66" i="4"/>
  <c r="AJ66" i="4"/>
  <c r="AI66" i="4"/>
  <c r="AH66" i="4"/>
  <c r="AG66" i="4"/>
  <c r="AF66" i="4"/>
  <c r="AE66" i="4"/>
  <c r="AD66" i="4"/>
  <c r="AC66" i="4"/>
  <c r="AB66" i="4"/>
  <c r="AA66" i="4"/>
  <c r="C66" i="4"/>
  <c r="AK65" i="4"/>
  <c r="AJ65" i="4"/>
  <c r="AI65" i="4"/>
  <c r="AH65" i="4"/>
  <c r="AG65" i="4"/>
  <c r="AF65" i="4"/>
  <c r="AE65" i="4"/>
  <c r="AD65" i="4"/>
  <c r="AC65" i="4"/>
  <c r="AB65" i="4"/>
  <c r="AA65" i="4"/>
  <c r="C65" i="4"/>
  <c r="AK64" i="4"/>
  <c r="AJ64" i="4"/>
  <c r="AI64" i="4"/>
  <c r="AH64" i="4"/>
  <c r="AG64" i="4"/>
  <c r="AF64" i="4"/>
  <c r="AE64" i="4"/>
  <c r="AD64" i="4"/>
  <c r="AC64" i="4"/>
  <c r="AB64" i="4"/>
  <c r="AA64" i="4"/>
  <c r="C64" i="4"/>
  <c r="AK63" i="4"/>
  <c r="AJ63" i="4"/>
  <c r="AI63" i="4"/>
  <c r="AH63" i="4"/>
  <c r="AG63" i="4"/>
  <c r="AF63" i="4"/>
  <c r="AE63" i="4"/>
  <c r="AD63" i="4"/>
  <c r="AC63" i="4"/>
  <c r="AB63" i="4"/>
  <c r="AA63" i="4"/>
  <c r="C63" i="4"/>
  <c r="AK62" i="4"/>
  <c r="AJ62" i="4"/>
  <c r="AI62" i="4"/>
  <c r="AH62" i="4"/>
  <c r="AG62" i="4"/>
  <c r="AF62" i="4"/>
  <c r="AE62" i="4"/>
  <c r="AD62" i="4"/>
  <c r="AC62" i="4"/>
  <c r="AB62" i="4"/>
  <c r="AA62" i="4"/>
  <c r="C62" i="4"/>
  <c r="AK61" i="4"/>
  <c r="AJ61" i="4"/>
  <c r="AI61" i="4"/>
  <c r="AH61" i="4"/>
  <c r="AG61" i="4"/>
  <c r="AF61" i="4"/>
  <c r="AE61" i="4"/>
  <c r="AD61" i="4"/>
  <c r="AC61" i="4"/>
  <c r="AB61" i="4"/>
  <c r="AA61" i="4"/>
  <c r="C61" i="4"/>
  <c r="AK60" i="4"/>
  <c r="AJ60" i="4"/>
  <c r="AI60" i="4"/>
  <c r="AH60" i="4"/>
  <c r="AG60" i="4"/>
  <c r="AF60" i="4"/>
  <c r="AE60" i="4"/>
  <c r="AD60" i="4"/>
  <c r="AC60" i="4"/>
  <c r="AB60" i="4"/>
  <c r="AA60" i="4"/>
  <c r="C60" i="4"/>
  <c r="AK59" i="4"/>
  <c r="AJ59" i="4"/>
  <c r="AI59" i="4"/>
  <c r="AH59" i="4"/>
  <c r="AG59" i="4"/>
  <c r="AF59" i="4"/>
  <c r="AE59" i="4"/>
  <c r="AD59" i="4"/>
  <c r="AC59" i="4"/>
  <c r="AB59" i="4"/>
  <c r="AA59" i="4"/>
  <c r="C59" i="4"/>
  <c r="AK58" i="4"/>
  <c r="AJ58" i="4"/>
  <c r="AI58" i="4"/>
  <c r="AH58" i="4"/>
  <c r="AG58" i="4"/>
  <c r="AF58" i="4"/>
  <c r="AE58" i="4"/>
  <c r="AD58" i="4"/>
  <c r="AC58" i="4"/>
  <c r="AB58" i="4"/>
  <c r="AA58" i="4"/>
  <c r="C58" i="4"/>
  <c r="AK57" i="4"/>
  <c r="AJ57" i="4"/>
  <c r="AI57" i="4"/>
  <c r="AH57" i="4"/>
  <c r="AG57" i="4"/>
  <c r="AF57" i="4"/>
  <c r="AE57" i="4"/>
  <c r="AD57" i="4"/>
  <c r="AC57" i="4"/>
  <c r="AB57" i="4"/>
  <c r="AA57" i="4"/>
  <c r="C57" i="4"/>
  <c r="AK56" i="4"/>
  <c r="AJ56" i="4"/>
  <c r="AI56" i="4"/>
  <c r="AH56" i="4"/>
  <c r="AG56" i="4"/>
  <c r="AF56" i="4"/>
  <c r="AE56" i="4"/>
  <c r="AD56" i="4"/>
  <c r="AC56" i="4"/>
  <c r="AB56" i="4"/>
  <c r="AA56" i="4"/>
  <c r="C56" i="4"/>
  <c r="AK55" i="4"/>
  <c r="AJ55" i="4"/>
  <c r="AI55" i="4"/>
  <c r="AH55" i="4"/>
  <c r="AG55" i="4"/>
  <c r="AF55" i="4"/>
  <c r="AE55" i="4"/>
  <c r="AD55" i="4"/>
  <c r="AC55" i="4"/>
  <c r="AB55" i="4"/>
  <c r="AA55" i="4"/>
  <c r="C55" i="4"/>
  <c r="AK54" i="4"/>
  <c r="AJ54" i="4"/>
  <c r="AI54" i="4"/>
  <c r="AH54" i="4"/>
  <c r="AG54" i="4"/>
  <c r="AF54" i="4"/>
  <c r="AE54" i="4"/>
  <c r="AD54" i="4"/>
  <c r="AC54" i="4"/>
  <c r="AB54" i="4"/>
  <c r="AA54" i="4"/>
  <c r="C54" i="4"/>
  <c r="AK53" i="4"/>
  <c r="AJ53" i="4"/>
  <c r="AI53" i="4"/>
  <c r="AH53" i="4"/>
  <c r="AG53" i="4"/>
  <c r="AF53" i="4"/>
  <c r="AE53" i="4"/>
  <c r="AD53" i="4"/>
  <c r="AC53" i="4"/>
  <c r="AB53" i="4"/>
  <c r="AA53" i="4"/>
  <c r="C53" i="4"/>
  <c r="AK52" i="4"/>
  <c r="AJ52" i="4"/>
  <c r="AI52" i="4"/>
  <c r="AH52" i="4"/>
  <c r="AG52" i="4"/>
  <c r="AF52" i="4"/>
  <c r="AE52" i="4"/>
  <c r="AD52" i="4"/>
  <c r="AC52" i="4"/>
  <c r="AB52" i="4"/>
  <c r="AA52" i="4"/>
  <c r="C52" i="4"/>
  <c r="AK51" i="4"/>
  <c r="AJ51" i="4"/>
  <c r="AI51" i="4"/>
  <c r="AH51" i="4"/>
  <c r="AG51" i="4"/>
  <c r="AF51" i="4"/>
  <c r="AE51" i="4"/>
  <c r="AD51" i="4"/>
  <c r="AC51" i="4"/>
  <c r="AB51" i="4"/>
  <c r="AA51" i="4"/>
  <c r="C51" i="4"/>
  <c r="AK50" i="4"/>
  <c r="AJ50" i="4"/>
  <c r="AI50" i="4"/>
  <c r="AH50" i="4"/>
  <c r="AG50" i="4"/>
  <c r="AF50" i="4"/>
  <c r="AE50" i="4"/>
  <c r="AD50" i="4"/>
  <c r="AC50" i="4"/>
  <c r="AB50" i="4"/>
  <c r="AA50" i="4"/>
  <c r="C50" i="4"/>
  <c r="AK49" i="4"/>
  <c r="AJ49" i="4"/>
  <c r="AI49" i="4"/>
  <c r="AH49" i="4"/>
  <c r="AG49" i="4"/>
  <c r="AF49" i="4"/>
  <c r="AE49" i="4"/>
  <c r="AD49" i="4"/>
  <c r="AC49" i="4"/>
  <c r="AB49" i="4"/>
  <c r="AA49" i="4"/>
  <c r="C49" i="4"/>
  <c r="AK48" i="4"/>
  <c r="AJ48" i="4"/>
  <c r="AI48" i="4"/>
  <c r="AH48" i="4"/>
  <c r="AG48" i="4"/>
  <c r="AF48" i="4"/>
  <c r="AE48" i="4"/>
  <c r="AD48" i="4"/>
  <c r="AC48" i="4"/>
  <c r="AB48" i="4"/>
  <c r="AA48" i="4"/>
  <c r="C48" i="4"/>
  <c r="AK47" i="4"/>
  <c r="AJ47" i="4"/>
  <c r="AI47" i="4"/>
  <c r="AH47" i="4"/>
  <c r="AG47" i="4"/>
  <c r="AF47" i="4"/>
  <c r="AE47" i="4"/>
  <c r="AD47" i="4"/>
  <c r="AC47" i="4"/>
  <c r="AB47" i="4"/>
  <c r="AA47" i="4"/>
  <c r="C47" i="4"/>
  <c r="AK46" i="4"/>
  <c r="AJ46" i="4"/>
  <c r="AI46" i="4"/>
  <c r="AH46" i="4"/>
  <c r="AG46" i="4"/>
  <c r="AF46" i="4"/>
  <c r="AE46" i="4"/>
  <c r="AD46" i="4"/>
  <c r="AC46" i="4"/>
  <c r="AB46" i="4"/>
  <c r="AA46" i="4"/>
  <c r="C46" i="4"/>
  <c r="AK45" i="4"/>
  <c r="AJ45" i="4"/>
  <c r="AI45" i="4"/>
  <c r="AH45" i="4"/>
  <c r="AG45" i="4"/>
  <c r="AF45" i="4"/>
  <c r="AE45" i="4"/>
  <c r="AD45" i="4"/>
  <c r="AC45" i="4"/>
  <c r="AB45" i="4"/>
  <c r="AA45" i="4"/>
  <c r="C45" i="4"/>
  <c r="AK44" i="4"/>
  <c r="AJ44" i="4"/>
  <c r="AI44" i="4"/>
  <c r="AH44" i="4"/>
  <c r="AG44" i="4"/>
  <c r="AF44" i="4"/>
  <c r="AE44" i="4"/>
  <c r="AD44" i="4"/>
  <c r="AC44" i="4"/>
  <c r="AB44" i="4"/>
  <c r="AA44" i="4"/>
  <c r="C44" i="4"/>
  <c r="AK43" i="4"/>
  <c r="AJ43" i="4"/>
  <c r="AI43" i="4"/>
  <c r="AH43" i="4"/>
  <c r="AG43" i="4"/>
  <c r="AF43" i="4"/>
  <c r="AE43" i="4"/>
  <c r="AD43" i="4"/>
  <c r="AC43" i="4"/>
  <c r="AB43" i="4"/>
  <c r="AA43" i="4"/>
  <c r="C43" i="4"/>
  <c r="AK42" i="4"/>
  <c r="AJ42" i="4"/>
  <c r="AI42" i="4"/>
  <c r="AH42" i="4"/>
  <c r="AG42" i="4"/>
  <c r="AF42" i="4"/>
  <c r="AE42" i="4"/>
  <c r="AD42" i="4"/>
  <c r="AC42" i="4"/>
  <c r="AB42" i="4"/>
  <c r="AA42" i="4"/>
  <c r="C42" i="4"/>
  <c r="AK41" i="4"/>
  <c r="AJ41" i="4"/>
  <c r="AI41" i="4"/>
  <c r="AH41" i="4"/>
  <c r="AG41" i="4"/>
  <c r="AF41" i="4"/>
  <c r="AE41" i="4"/>
  <c r="AD41" i="4"/>
  <c r="AC41" i="4"/>
  <c r="AB41" i="4"/>
  <c r="AA41" i="4"/>
  <c r="C41" i="4"/>
  <c r="AK40" i="4"/>
  <c r="AJ40" i="4"/>
  <c r="AI40" i="4"/>
  <c r="AH40" i="4"/>
  <c r="AG40" i="4"/>
  <c r="AF40" i="4"/>
  <c r="AE40" i="4"/>
  <c r="AD40" i="4"/>
  <c r="AC40" i="4"/>
  <c r="AB40" i="4"/>
  <c r="AA40" i="4"/>
  <c r="C40" i="4"/>
  <c r="AK39" i="4"/>
  <c r="AJ39" i="4"/>
  <c r="AI39" i="4"/>
  <c r="AH39" i="4"/>
  <c r="AG39" i="4"/>
  <c r="AF39" i="4"/>
  <c r="AE39" i="4"/>
  <c r="AD39" i="4"/>
  <c r="AC39" i="4"/>
  <c r="AB39" i="4"/>
  <c r="AA39" i="4"/>
  <c r="C39" i="4"/>
  <c r="AK38" i="4"/>
  <c r="AJ38" i="4"/>
  <c r="AI38" i="4"/>
  <c r="AH38" i="4"/>
  <c r="AG38" i="4"/>
  <c r="AF38" i="4"/>
  <c r="AE38" i="4"/>
  <c r="AD38" i="4"/>
  <c r="AC38" i="4"/>
  <c r="AB38" i="4"/>
  <c r="AA38" i="4"/>
  <c r="C38" i="4"/>
  <c r="AK37" i="4"/>
  <c r="AJ37" i="4"/>
  <c r="AI37" i="4"/>
  <c r="AH37" i="4"/>
  <c r="AG37" i="4"/>
  <c r="AF37" i="4"/>
  <c r="AE37" i="4"/>
  <c r="AD37" i="4"/>
  <c r="AC37" i="4"/>
  <c r="AB37" i="4"/>
  <c r="AA37" i="4"/>
  <c r="C37" i="4"/>
  <c r="AK36" i="4"/>
  <c r="AJ36" i="4"/>
  <c r="AI36" i="4"/>
  <c r="AH36" i="4"/>
  <c r="AG36" i="4"/>
  <c r="AF36" i="4"/>
  <c r="AE36" i="4"/>
  <c r="AD36" i="4"/>
  <c r="AC36" i="4"/>
  <c r="AB36" i="4"/>
  <c r="AA36" i="4"/>
  <c r="C36" i="4"/>
  <c r="AK35" i="4"/>
  <c r="AJ35" i="4"/>
  <c r="AI35" i="4"/>
  <c r="AH35" i="4"/>
  <c r="AG35" i="4"/>
  <c r="AF35" i="4"/>
  <c r="AE35" i="4"/>
  <c r="AD35" i="4"/>
  <c r="AC35" i="4"/>
  <c r="AB35" i="4"/>
  <c r="AA35" i="4"/>
  <c r="C35" i="4"/>
  <c r="AK34" i="4"/>
  <c r="AJ34" i="4"/>
  <c r="AI34" i="4"/>
  <c r="AH34" i="4"/>
  <c r="AG34" i="4"/>
  <c r="AF34" i="4"/>
  <c r="AE34" i="4"/>
  <c r="AD34" i="4"/>
  <c r="AC34" i="4"/>
  <c r="AB34" i="4"/>
  <c r="AA34" i="4"/>
  <c r="C34" i="4"/>
  <c r="AK33" i="4"/>
  <c r="AJ33" i="4"/>
  <c r="AI33" i="4"/>
  <c r="AH33" i="4"/>
  <c r="AG33" i="4"/>
  <c r="AF33" i="4"/>
  <c r="AE33" i="4"/>
  <c r="AD33" i="4"/>
  <c r="AC33" i="4"/>
  <c r="AB33" i="4"/>
  <c r="AA33" i="4"/>
  <c r="C33" i="4"/>
  <c r="AK32" i="4"/>
  <c r="AJ32" i="4"/>
  <c r="AI32" i="4"/>
  <c r="AH32" i="4"/>
  <c r="AG32" i="4"/>
  <c r="AF32" i="4"/>
  <c r="AE32" i="4"/>
  <c r="AD32" i="4"/>
  <c r="AC32" i="4"/>
  <c r="AB32" i="4"/>
  <c r="AA32" i="4"/>
  <c r="C32" i="4"/>
  <c r="AK31" i="4"/>
  <c r="AJ31" i="4"/>
  <c r="AI31" i="4"/>
  <c r="AH31" i="4"/>
  <c r="AG31" i="4"/>
  <c r="AF31" i="4"/>
  <c r="AE31" i="4"/>
  <c r="AD31" i="4"/>
  <c r="AC31" i="4"/>
  <c r="AB31" i="4"/>
  <c r="AA31" i="4"/>
  <c r="C31" i="4"/>
  <c r="AK30" i="4"/>
  <c r="AJ30" i="4"/>
  <c r="AI30" i="4"/>
  <c r="AH30" i="4"/>
  <c r="AG30" i="4"/>
  <c r="AF30" i="4"/>
  <c r="AE30" i="4"/>
  <c r="AD30" i="4"/>
  <c r="AC30" i="4"/>
  <c r="AB30" i="4"/>
  <c r="AA30" i="4"/>
  <c r="C30" i="4"/>
  <c r="AK29" i="4"/>
  <c r="AJ29" i="4"/>
  <c r="AI29" i="4"/>
  <c r="AH29" i="4"/>
  <c r="AG29" i="4"/>
  <c r="AF29" i="4"/>
  <c r="AE29" i="4"/>
  <c r="AD29" i="4"/>
  <c r="AC29" i="4"/>
  <c r="AB29" i="4"/>
  <c r="AA29" i="4"/>
  <c r="C29" i="4"/>
  <c r="AK28" i="4"/>
  <c r="AJ28" i="4"/>
  <c r="AI28" i="4"/>
  <c r="AH28" i="4"/>
  <c r="AG28" i="4"/>
  <c r="AF28" i="4"/>
  <c r="AE28" i="4"/>
  <c r="AD28" i="4"/>
  <c r="AC28" i="4"/>
  <c r="AB28" i="4"/>
  <c r="AA28" i="4"/>
  <c r="C28" i="4"/>
  <c r="AK27" i="4"/>
  <c r="AJ27" i="4"/>
  <c r="AI27" i="4"/>
  <c r="AH27" i="4"/>
  <c r="AG27" i="4"/>
  <c r="AF27" i="4"/>
  <c r="AE27" i="4"/>
  <c r="AD27" i="4"/>
  <c r="AC27" i="4"/>
  <c r="AB27" i="4"/>
  <c r="AA27" i="4"/>
  <c r="C27" i="4"/>
  <c r="AK26" i="4"/>
  <c r="AJ26" i="4"/>
  <c r="AI26" i="4"/>
  <c r="AH26" i="4"/>
  <c r="AG26" i="4"/>
  <c r="AF26" i="4"/>
  <c r="AE26" i="4"/>
  <c r="AD26" i="4"/>
  <c r="AC26" i="4"/>
  <c r="AB26" i="4"/>
  <c r="AA26" i="4"/>
  <c r="C26" i="4"/>
  <c r="AK25" i="4"/>
  <c r="AJ25" i="4"/>
  <c r="AI25" i="4"/>
  <c r="AH25" i="4"/>
  <c r="AG25" i="4"/>
  <c r="AF25" i="4"/>
  <c r="AE25" i="4"/>
  <c r="AD25" i="4"/>
  <c r="AC25" i="4"/>
  <c r="AB25" i="4"/>
  <c r="AA25" i="4"/>
  <c r="C25" i="4"/>
  <c r="AK24" i="4"/>
  <c r="AJ24" i="4"/>
  <c r="AI24" i="4"/>
  <c r="AH24" i="4"/>
  <c r="AG24" i="4"/>
  <c r="AF24" i="4"/>
  <c r="AE24" i="4"/>
  <c r="AD24" i="4"/>
  <c r="AC24" i="4"/>
  <c r="AB24" i="4"/>
  <c r="AA24" i="4"/>
  <c r="C24" i="4"/>
  <c r="AK23" i="4"/>
  <c r="AJ23" i="4"/>
  <c r="AI23" i="4"/>
  <c r="AH23" i="4"/>
  <c r="AG23" i="4"/>
  <c r="AF23" i="4"/>
  <c r="AE23" i="4"/>
  <c r="AD23" i="4"/>
  <c r="AC23" i="4"/>
  <c r="AB23" i="4"/>
  <c r="AA23" i="4"/>
  <c r="C23" i="4"/>
  <c r="AK22" i="4"/>
  <c r="AJ22" i="4"/>
  <c r="AI22" i="4"/>
  <c r="AH22" i="4"/>
  <c r="AG22" i="4"/>
  <c r="AF22" i="4"/>
  <c r="AE22" i="4"/>
  <c r="AD22" i="4"/>
  <c r="AC22" i="4"/>
  <c r="AB22" i="4"/>
  <c r="AA22" i="4"/>
  <c r="C22" i="4"/>
  <c r="AK21" i="4"/>
  <c r="AJ21" i="4"/>
  <c r="AI21" i="4"/>
  <c r="AH21" i="4"/>
  <c r="AG21" i="4"/>
  <c r="AF21" i="4"/>
  <c r="AE21" i="4"/>
  <c r="AD21" i="4"/>
  <c r="AC21" i="4"/>
  <c r="AB21" i="4"/>
  <c r="AA21" i="4"/>
  <c r="C21" i="4"/>
  <c r="AK20" i="4"/>
  <c r="AJ20" i="4"/>
  <c r="AI20" i="4"/>
  <c r="AH20" i="4"/>
  <c r="AG20" i="4"/>
  <c r="AF20" i="4"/>
  <c r="AE20" i="4"/>
  <c r="AD20" i="4"/>
  <c r="AC20" i="4"/>
  <c r="AB20" i="4"/>
  <c r="AA20" i="4"/>
  <c r="C20" i="4"/>
  <c r="AK19" i="4"/>
  <c r="AJ19" i="4"/>
  <c r="AI19" i="4"/>
  <c r="AH19" i="4"/>
  <c r="AG19" i="4"/>
  <c r="AF19" i="4"/>
  <c r="AE19" i="4"/>
  <c r="AD19" i="4"/>
  <c r="AC19" i="4"/>
  <c r="AB19" i="4"/>
  <c r="AA19" i="4"/>
  <c r="C19" i="4"/>
  <c r="AK18" i="4"/>
  <c r="AJ18" i="4"/>
  <c r="AI18" i="4"/>
  <c r="AH18" i="4"/>
  <c r="AG18" i="4"/>
  <c r="AF18" i="4"/>
  <c r="AE18" i="4"/>
  <c r="AD18" i="4"/>
  <c r="AC18" i="4"/>
  <c r="AB18" i="4"/>
  <c r="AA18" i="4"/>
  <c r="C18" i="4"/>
  <c r="AK17" i="4"/>
  <c r="AJ17" i="4"/>
  <c r="AI17" i="4"/>
  <c r="AH17" i="4"/>
  <c r="AG17" i="4"/>
  <c r="AF17" i="4"/>
  <c r="AE17" i="4"/>
  <c r="AD17" i="4"/>
  <c r="AC17" i="4"/>
  <c r="AB17" i="4"/>
  <c r="AA17" i="4"/>
  <c r="C17" i="4"/>
  <c r="AK16" i="4"/>
  <c r="AJ16" i="4"/>
  <c r="AI16" i="4"/>
  <c r="AH16" i="4"/>
  <c r="AG16" i="4"/>
  <c r="AF16" i="4"/>
  <c r="AE16" i="4"/>
  <c r="AD16" i="4"/>
  <c r="AC16" i="4"/>
  <c r="AB16" i="4"/>
  <c r="AA16" i="4"/>
  <c r="C16" i="4"/>
  <c r="AK15" i="4"/>
  <c r="AJ15" i="4"/>
  <c r="AI15" i="4"/>
  <c r="AH15" i="4"/>
  <c r="AG15" i="4"/>
  <c r="AF15" i="4"/>
  <c r="AE15" i="4"/>
  <c r="AD15" i="4"/>
  <c r="AC15" i="4"/>
  <c r="AB15" i="4"/>
  <c r="AA15" i="4"/>
  <c r="C15" i="4"/>
  <c r="AK14" i="4"/>
  <c r="AJ14" i="4"/>
  <c r="AI14" i="4"/>
  <c r="AH14" i="4"/>
  <c r="AG14" i="4"/>
  <c r="AF14" i="4"/>
  <c r="AE14" i="4"/>
  <c r="AD14" i="4"/>
  <c r="AC14" i="4"/>
  <c r="AB14" i="4"/>
  <c r="AA14" i="4"/>
  <c r="C14" i="4"/>
  <c r="AK13" i="4"/>
  <c r="AJ13" i="4"/>
  <c r="AI13" i="4"/>
  <c r="AH13" i="4"/>
  <c r="AG13" i="4"/>
  <c r="AF13" i="4"/>
  <c r="AE13" i="4"/>
  <c r="AD13" i="4"/>
  <c r="AC13" i="4"/>
  <c r="AB13" i="4"/>
  <c r="AA13" i="4"/>
  <c r="C13" i="4"/>
  <c r="AK12" i="4"/>
  <c r="AJ12" i="4"/>
  <c r="AI12" i="4"/>
  <c r="AH12" i="4"/>
  <c r="AG12" i="4"/>
  <c r="AF12" i="4"/>
  <c r="AE12" i="4"/>
  <c r="AD12" i="4"/>
  <c r="AC12" i="4"/>
  <c r="AB12" i="4"/>
  <c r="AA12" i="4"/>
  <c r="C12" i="4"/>
  <c r="AK11" i="4"/>
  <c r="AJ11" i="4"/>
  <c r="AI11" i="4"/>
  <c r="AH11" i="4"/>
  <c r="AG11" i="4"/>
  <c r="AF11" i="4"/>
  <c r="AE11" i="4"/>
  <c r="AD11" i="4"/>
  <c r="AC11" i="4"/>
  <c r="AB11" i="4"/>
  <c r="AA11" i="4"/>
  <c r="C11" i="4"/>
  <c r="AK10" i="4"/>
  <c r="AJ10" i="4"/>
  <c r="AI10" i="4"/>
  <c r="AH10" i="4"/>
  <c r="AG10" i="4"/>
  <c r="AF10" i="4"/>
  <c r="AE10" i="4"/>
  <c r="AD10" i="4"/>
  <c r="AC10" i="4"/>
  <c r="AB10" i="4"/>
  <c r="AA10" i="4"/>
  <c r="C10" i="4"/>
  <c r="AK9" i="4"/>
  <c r="AJ9" i="4"/>
  <c r="AI9" i="4"/>
  <c r="AH9" i="4"/>
  <c r="AG9" i="4"/>
  <c r="AF9" i="4"/>
  <c r="AE9" i="4"/>
  <c r="AD9" i="4"/>
  <c r="AC9" i="4"/>
  <c r="AB9" i="4"/>
  <c r="AA9" i="4"/>
  <c r="C9" i="4"/>
  <c r="AK8" i="4"/>
  <c r="AJ8" i="4"/>
  <c r="AI8" i="4"/>
  <c r="AH8" i="4"/>
  <c r="AG8" i="4"/>
  <c r="AF8" i="4"/>
  <c r="AE8" i="4"/>
  <c r="AD8" i="4"/>
  <c r="AC8" i="4"/>
  <c r="AB8" i="4"/>
  <c r="AA8" i="4"/>
  <c r="C8" i="4"/>
  <c r="AK7" i="4"/>
  <c r="AJ7" i="4"/>
  <c r="AI7" i="4"/>
  <c r="AH7" i="4"/>
  <c r="AG7" i="4"/>
  <c r="AF7" i="4"/>
  <c r="AE7" i="4"/>
  <c r="AD7" i="4"/>
  <c r="AC7" i="4"/>
  <c r="AB7" i="4"/>
  <c r="AA7" i="4"/>
  <c r="C7" i="4"/>
  <c r="AK6" i="4"/>
  <c r="AJ6" i="4"/>
  <c r="AI6" i="4"/>
  <c r="AH6" i="4"/>
  <c r="AG6" i="4"/>
  <c r="AF6" i="4"/>
  <c r="AE6" i="4"/>
  <c r="AD6" i="4"/>
  <c r="AC6" i="4"/>
  <c r="AB6" i="4"/>
  <c r="AA6" i="4"/>
  <c r="C6" i="4"/>
  <c r="AK5" i="4"/>
  <c r="AJ5" i="4"/>
  <c r="AI5" i="4"/>
  <c r="AH5" i="4"/>
  <c r="AG5" i="4"/>
  <c r="AF5" i="4"/>
  <c r="AE5" i="4"/>
  <c r="AD5" i="4"/>
  <c r="AC5" i="4"/>
  <c r="AB5" i="4"/>
  <c r="AA5" i="4"/>
  <c r="C5" i="4"/>
  <c r="AK4" i="4"/>
  <c r="AJ4" i="4"/>
  <c r="AI4" i="4"/>
  <c r="AH4" i="4"/>
  <c r="AG4" i="4"/>
  <c r="AF4" i="4"/>
  <c r="AE4" i="4"/>
  <c r="AD4" i="4"/>
  <c r="AC4" i="4"/>
  <c r="AB4" i="4"/>
  <c r="AA4" i="4"/>
  <c r="C4" i="4"/>
  <c r="AK3" i="4"/>
  <c r="AJ3" i="4"/>
  <c r="AI3" i="4"/>
  <c r="AH3" i="4"/>
  <c r="AG3" i="4"/>
  <c r="AF3" i="4"/>
  <c r="AE3" i="4"/>
  <c r="AD3" i="4"/>
  <c r="AC3" i="4"/>
  <c r="AB3" i="4"/>
  <c r="AA3" i="4"/>
  <c r="C3" i="4"/>
  <c r="C28" i="1" l="1"/>
  <c r="B28" i="1"/>
  <c r="E11" i="1" l="1"/>
  <c r="D11" i="1"/>
  <c r="C11" i="1"/>
  <c r="B11" i="1"/>
  <c r="E10" i="1"/>
  <c r="D10" i="1"/>
  <c r="C10" i="1"/>
  <c r="B10" i="1"/>
  <c r="E9" i="1"/>
  <c r="D9" i="1"/>
  <c r="C9" i="1"/>
  <c r="C13" i="1" s="1"/>
  <c r="C16" i="1" s="1"/>
  <c r="C19" i="1" s="1"/>
  <c r="B9" i="1"/>
  <c r="B13" i="1" s="1"/>
  <c r="B16" i="1" s="1"/>
  <c r="B19" i="1" s="1"/>
  <c r="E8" i="1"/>
  <c r="D8" i="1"/>
  <c r="C8" i="1"/>
  <c r="B8" i="1"/>
  <c r="D13" i="1" l="1"/>
  <c r="D16" i="1" s="1"/>
  <c r="D19" i="1" s="1"/>
  <c r="E13" i="1"/>
  <c r="E16" i="1" s="1"/>
  <c r="E19" i="1" s="1"/>
  <c r="B12" i="1"/>
  <c r="B15" i="1" s="1"/>
  <c r="B18" i="1" s="1"/>
  <c r="B21" i="1" s="1"/>
  <c r="B22" i="1" s="1"/>
  <c r="C12" i="1"/>
  <c r="C15" i="1" s="1"/>
  <c r="C18" i="1" s="1"/>
  <c r="C21" i="1" s="1"/>
  <c r="C22" i="1" s="1"/>
  <c r="D12" i="1"/>
  <c r="D15" i="1" s="1"/>
  <c r="D18" i="1" s="1"/>
  <c r="D21" i="1" s="1"/>
  <c r="D22" i="1" s="1"/>
  <c r="E12" i="1"/>
  <c r="E15" i="1" s="1"/>
  <c r="E18" i="1" s="1"/>
  <c r="E21" i="1" s="1"/>
  <c r="E22" i="1" s="1"/>
</calcChain>
</file>

<file path=xl/sharedStrings.xml><?xml version="1.0" encoding="utf-8"?>
<sst xmlns="http://schemas.openxmlformats.org/spreadsheetml/2006/main" count="546" uniqueCount="119">
  <si>
    <t>DATA SPREAD</t>
  </si>
  <si>
    <t>Dataset Name</t>
  </si>
  <si>
    <t>Sample or Population?</t>
  </si>
  <si>
    <t>Normal Distribution?</t>
  </si>
  <si>
    <t>Variance</t>
  </si>
  <si>
    <t>Standard deviation</t>
  </si>
  <si>
    <t>Mean</t>
  </si>
  <si>
    <t>CORRELATION</t>
  </si>
  <si>
    <t>Variables</t>
  </si>
  <si>
    <t>Proposed relationship</t>
  </si>
  <si>
    <t>Correlation coefficient</t>
  </si>
  <si>
    <t>Strength of correlation</t>
  </si>
  <si>
    <t>Usefulness / interpretation</t>
  </si>
  <si>
    <r>
      <t xml:space="preserve">                                                                                    </t>
    </r>
    <r>
      <rPr>
        <b/>
        <sz val="14"/>
        <color theme="1"/>
        <rFont val="Aptos Narrow"/>
        <family val="2"/>
        <scheme val="minor"/>
      </rPr>
      <t>FLU DEATH PERCENTAGE RATE</t>
    </r>
  </si>
  <si>
    <t>State</t>
  </si>
  <si>
    <t>Year</t>
  </si>
  <si>
    <t>Combined Key</t>
  </si>
  <si>
    <t>&lt;5</t>
  </si>
  <si>
    <t>5-14</t>
  </si>
  <si>
    <t>15-24</t>
  </si>
  <si>
    <t>25-34</t>
  </si>
  <si>
    <t>35-44</t>
  </si>
  <si>
    <t>45-54</t>
  </si>
  <si>
    <t>55-64</t>
  </si>
  <si>
    <t>65-74</t>
  </si>
  <si>
    <t>75-84</t>
  </si>
  <si>
    <t>85+</t>
  </si>
  <si>
    <t>NS</t>
  </si>
  <si>
    <t xml:space="preserve"> 5 -14 years</t>
  </si>
  <si>
    <t>15-24 years</t>
  </si>
  <si>
    <t>25-34 years</t>
  </si>
  <si>
    <t>35-44 years</t>
  </si>
  <si>
    <t>45-54 years</t>
  </si>
  <si>
    <t>55-64 years</t>
  </si>
  <si>
    <t>65-74 years</t>
  </si>
  <si>
    <t>75-84 years</t>
  </si>
  <si>
    <t>85 years and over</t>
  </si>
  <si>
    <t>Total Population</t>
  </si>
  <si>
    <t>&lt;5 years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</si>
  <si>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</si>
  <si>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</si>
  <si>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</si>
  <si>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</si>
  <si>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</si>
  <si>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</si>
  <si>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</si>
  <si>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</si>
  <si>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</si>
  <si>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</si>
  <si>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</si>
  <si>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</si>
  <si>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</si>
  <si>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</si>
  <si>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</si>
  <si>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</si>
  <si>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</si>
  <si>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</si>
  <si>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</si>
  <si>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</si>
  <si>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</si>
  <si>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</si>
  <si>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</si>
  <si>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</si>
  <si>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</si>
  <si>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</si>
  <si>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</si>
  <si>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</si>
  <si>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</si>
  <si>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</si>
  <si>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</si>
  <si>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</si>
  <si>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</si>
  <si>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</si>
  <si>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</si>
  <si>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</si>
  <si>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</si>
  <si>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</si>
  <si>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</si>
  <si>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</si>
  <si>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</si>
  <si>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</si>
  <si>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</si>
  <si>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</si>
  <si>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</si>
  <si>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</si>
  <si>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</si>
  <si>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</si>
  <si>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</si>
  <si>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</si>
  <si>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</si>
  <si>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85+ Flu Death</t>
  </si>
  <si>
    <t>85 years and over Population</t>
  </si>
  <si>
    <t>sample</t>
  </si>
  <si>
    <t>integrated</t>
  </si>
  <si>
    <t>Median</t>
  </si>
  <si>
    <t>one Standard Deviation lower</t>
  </si>
  <si>
    <t>one Standard Deviation Upper</t>
  </si>
  <si>
    <t>two Standard Deviation lower</t>
  </si>
  <si>
    <t>twoStandard Deviation Upper</t>
  </si>
  <si>
    <t>three standard Deviation  lower</t>
  </si>
  <si>
    <t>three standard Deviation upper</t>
  </si>
  <si>
    <t>count of outliers</t>
  </si>
  <si>
    <t>Total death flu/ Population of 85+</t>
  </si>
  <si>
    <t>Total influenza deaths will be higher when there are people of 85 years old and above</t>
  </si>
  <si>
    <t>Grand Total</t>
  </si>
  <si>
    <t>YES</t>
  </si>
  <si>
    <t>Total % Death Population</t>
  </si>
  <si>
    <t>15-24 Flu Death</t>
  </si>
  <si>
    <t>15-24 years Population</t>
  </si>
  <si>
    <t>Outlier Percentage</t>
  </si>
  <si>
    <t>total death flu/ population of 15-24  years</t>
  </si>
  <si>
    <t>Strong</t>
  </si>
  <si>
    <t>Hypothesis: If a state has a higher population of vulnerable individuals (e.g., those aged 85+), it’s likely to see more influenza deaths.</t>
  </si>
  <si>
    <t>The strong positive correlation suggests that states with larger populations of individuals aged 85 and older tend to experience a higher number of total influenza deaths. Therefore, it would be beneficial for the medical staffing agency to allocate more staff to states with higher populations of people in this age group.</t>
  </si>
  <si>
    <t xml:space="preserve">                                                   FLU DEATH</t>
  </si>
  <si>
    <t xml:space="preserve">                                                                                                                             US POPULATION </t>
  </si>
  <si>
    <t>very weak</t>
  </si>
  <si>
    <t>influenza death will not increase with population  in the age bracket of 15-24 and younger</t>
  </si>
  <si>
    <t xml:space="preserve">A very weak positive correlation exists between the population of individuals aged 15-24 and the total number of influenza deaths. Therefore, the staffing agency can consider less staffing in states with large populations of this age group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</si>
</sst>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sz val="18"/>
      <color theme="1"/>
      <name val="Aptos Narrow"/>
      <family val="2"/>
      <scheme val="minor"/>
    </font>
    <font>
      <b/>
      <sz val="18"/>
      <color theme="1"/>
      <name val="Aptos Narrow"/>
      <family val="2"/>
      <scheme val="minor"/>
    </font>
    <font>
      <b/>
      <sz val="14"/>
      <color theme="1"/>
      <name val="Aptos Narrow"/>
      <family val="2"/>
      <scheme val="minor"/>
    </font>
    <font>
      <sz val="12"/>
      <color theme="1"/>
      <name val="Aptos Narrow"/>
      <family val="2"/>
      <scheme val="minor"/>
    </font>
  </fonts>
  <fills count="8">
    <fill>
      <patternFill patternType="none"/>
    </fill>
    <fill>
      <patternFill patternType="gray125"/>
    </fill>
    <fill>
      <patternFill patternType="solid">
        <fgColor theme="5"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3" tint="0.749992370372631"/>
        <bgColor indexed="64"/>
      </patternFill>
    </fill>
    <fill>
      <patternFill patternType="solid">
        <fgColor theme="2" tint="-9.9978637043366805E-2"/>
        <bgColor indexed="64"/>
      </patternFill>
    </fill>
    <fill>
      <patternFill patternType="solid">
        <fgColor theme="7" tint="0.79998168889431442"/>
        <bgColor indexed="64"/>
      </patternFill>
    </fill>
  </fills>
  <borders count="12">
    <border>
      <left/>
      <right/>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5">
    <xf numFmtId="0" fontId="0" fillId="0" borderId="0"/>
    <xf numFmtId="9" fontId="1" fillId="0" borderId="0" applyFont="0" applyFill="0" applyBorder="0" applyAlignment="0" applyProtection="0"/>
    <xf numFmtId="0" fontId="6" fillId="0" borderId="0"/>
    <xf numFmtId="43" fontId="6" fillId="0" borderId="0" applyFont="0" applyFill="0" applyBorder="0" applyAlignment="0" applyProtection="0"/>
    <xf numFmtId="9" fontId="6" fillId="0" borderId="0" applyFont="0" applyFill="0" applyBorder="0" applyAlignment="0" applyProtection="0"/>
  </cellStyleXfs>
  <cellXfs count="36">
    <xf numFmtId="0" fontId="0" fillId="0" borderId="0" xfId="0"/>
    <xf numFmtId="0" fontId="0" fillId="0" borderId="0" xfId="0" applyAlignment="1">
      <alignment horizontal="center"/>
    </xf>
    <xf numFmtId="0" fontId="0" fillId="0" borderId="0" xfId="0" applyAlignment="1">
      <alignment wrapText="1"/>
    </xf>
    <xf numFmtId="0" fontId="2" fillId="3" borderId="6" xfId="0" applyFont="1" applyFill="1" applyBorder="1" applyAlignment="1">
      <alignment horizontal="center"/>
    </xf>
    <xf numFmtId="1" fontId="0" fillId="0" borderId="0" xfId="0" applyNumberFormat="1" applyAlignment="1">
      <alignment horizontal="center"/>
    </xf>
    <xf numFmtId="9" fontId="0" fillId="0" borderId="0" xfId="1" applyFont="1" applyAlignment="1">
      <alignment horizontal="center"/>
    </xf>
    <xf numFmtId="0" fontId="0" fillId="0" borderId="0" xfId="0" applyAlignment="1">
      <alignment horizontal="center" wrapText="1"/>
    </xf>
    <xf numFmtId="0" fontId="1" fillId="0" borderId="2" xfId="2" applyFont="1" applyBorder="1" applyAlignment="1">
      <alignment horizontal="left" vertical="center"/>
    </xf>
    <xf numFmtId="0" fontId="0" fillId="0" borderId="1" xfId="0" applyBorder="1" applyAlignment="1">
      <alignment horizontal="center" wrapText="1"/>
    </xf>
    <xf numFmtId="0" fontId="0" fillId="0" borderId="1" xfId="0" applyBorder="1" applyAlignment="1">
      <alignment horizontal="center"/>
    </xf>
    <xf numFmtId="0" fontId="1" fillId="0" borderId="3" xfId="2" applyFont="1" applyBorder="1" applyAlignment="1">
      <alignment horizontal="left" vertical="center"/>
    </xf>
    <xf numFmtId="0" fontId="0" fillId="0" borderId="4" xfId="0" applyBorder="1" applyAlignment="1">
      <alignment horizontal="center" wrapText="1"/>
    </xf>
    <xf numFmtId="0" fontId="0" fillId="0" borderId="5" xfId="0" applyBorder="1" applyAlignment="1">
      <alignment horizontal="center" wrapText="1"/>
    </xf>
    <xf numFmtId="0" fontId="4" fillId="0" borderId="9" xfId="0" applyFont="1" applyBorder="1"/>
    <xf numFmtId="0" fontId="0" fillId="0" borderId="10" xfId="0" applyBorder="1" applyAlignment="1">
      <alignment horizontal="center"/>
    </xf>
    <xf numFmtId="0" fontId="0" fillId="0" borderId="11" xfId="0" applyBorder="1" applyAlignment="1">
      <alignment horizontal="center"/>
    </xf>
    <xf numFmtId="0" fontId="4" fillId="0" borderId="0" xfId="0" applyFont="1"/>
    <xf numFmtId="0" fontId="3" fillId="0" borderId="0" xfId="0" applyFont="1"/>
    <xf numFmtId="0" fontId="0" fillId="0" borderId="0" xfId="0"/>
    <xf numFmtId="0" fontId="5" fillId="3" borderId="0" xfId="0" applyFont="1" applyFill="1"/>
    <xf numFmtId="0" fontId="0" fillId="3" borderId="0" xfId="0" applyFill="1"/>
    <xf numFmtId="0" fontId="5" fillId="4" borderId="0" xfId="0" applyFont="1" applyFill="1"/>
    <xf numFmtId="0" fontId="0" fillId="5" borderId="4" xfId="0" applyFill="1" applyBorder="1"/>
    <xf numFmtId="0" fontId="2" fillId="6" borderId="0" xfId="0" applyFont="1" applyFill="1"/>
    <xf numFmtId="0" fontId="2" fillId="6" borderId="0" xfId="0" applyFont="1" applyFill="1" applyAlignment="1">
      <alignment horizontal="center"/>
    </xf>
    <xf numFmtId="0" fontId="2" fillId="2" borderId="6" xfId="0" applyFont="1" applyFill="1" applyBorder="1"/>
    <xf numFmtId="0" fontId="2" fillId="5" borderId="6" xfId="0" applyFont="1" applyFill="1" applyBorder="1"/>
    <xf numFmtId="0" fontId="0" fillId="7" borderId="6" xfId="0" applyFill="1" applyBorder="1"/>
    <xf numFmtId="0" fontId="2" fillId="7" borderId="6" xfId="0" applyFont="1" applyFill="1" applyBorder="1"/>
    <xf numFmtId="1" fontId="0" fillId="4" borderId="7" xfId="0" applyNumberFormat="1" applyFill="1" applyBorder="1"/>
    <xf numFmtId="1" fontId="0" fillId="4" borderId="6" xfId="0" applyNumberFormat="1" applyFill="1" applyBorder="1"/>
    <xf numFmtId="1" fontId="2" fillId="4" borderId="8" xfId="0" applyNumberFormat="1" applyFont="1" applyFill="1" applyBorder="1"/>
    <xf numFmtId="10" fontId="0" fillId="5" borderId="6" xfId="1" applyNumberFormat="1" applyFont="1" applyFill="1" applyBorder="1"/>
    <xf numFmtId="10" fontId="2" fillId="5" borderId="6" xfId="1" applyNumberFormat="1" applyFont="1" applyFill="1" applyBorder="1"/>
    <xf numFmtId="2" fontId="0" fillId="0" borderId="1" xfId="0" applyNumberFormat="1" applyBorder="1" applyAlignment="1">
      <alignment horizontal="center"/>
    </xf>
    <xf numFmtId="2" fontId="0" fillId="0" borderId="0" xfId="0" applyNumberFormat="1" applyAlignment="1">
      <alignment horizontal="center"/>
    </xf>
  </cellXfs>
  <cellStyles count="5">
    <cellStyle name="Comma 2" xfId="3" xr:uid="{E0BE9CB1-0B3A-4E59-83D1-33EE0A88589C}"/>
    <cellStyle name="Normal" xfId="0" builtinId="0"/>
    <cellStyle name="Normal 2" xfId="2" xr:uid="{F13A4BB8-EDEF-4B22-B8AE-D5A6E0B9A719}"/>
    <cellStyle name="Percent" xfId="1" builtinId="5"/>
    <cellStyle name="Percent 2" xfId="4" xr:uid="{28344841-EF2E-48C0-AC5E-ACFE160E7B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B7345-3985-4FF7-AAC9-D093600CC405}">
  <dimension ref="A1:AK461"/>
  <sheetViews>
    <sheetView topLeftCell="E15" zoomScale="102" zoomScaleNormal="70" workbookViewId="0">
      <selection activeCell="C35" sqref="C35"/>
    </sheetView>
  </sheetViews>
  <sheetFormatPr defaultRowHeight="14.4" x14ac:dyDescent="0.3"/>
  <cols>
    <col min="1" max="1" width="20" customWidth="1"/>
    <col min="3" max="3" width="21.88671875" bestFit="1" customWidth="1"/>
    <col min="4" max="14" width="8.88671875" style="1"/>
    <col min="15" max="15" width="10.5546875" style="1" customWidth="1"/>
    <col min="16" max="16" width="8.88671875" style="1"/>
    <col min="17" max="17" width="10.6640625" style="1" customWidth="1"/>
    <col min="18" max="18" width="10.88671875" style="1" customWidth="1"/>
    <col min="19" max="19" width="12.5546875" style="1" customWidth="1"/>
    <col min="20" max="20" width="10.77734375" style="1" customWidth="1"/>
    <col min="21" max="21" width="11" style="1" customWidth="1"/>
    <col min="22" max="22" width="10.77734375" style="1" customWidth="1"/>
    <col min="23" max="23" width="10.21875" style="1" customWidth="1"/>
    <col min="24" max="24" width="10.77734375" style="1" customWidth="1"/>
    <col min="25" max="25" width="16.21875" style="1" customWidth="1"/>
    <col min="26" max="26" width="14.5546875" style="1" customWidth="1"/>
    <col min="27" max="27" width="8.88671875" style="1"/>
    <col min="28" max="28" width="10.21875" style="1" customWidth="1"/>
    <col min="29" max="29" width="10.33203125" style="1" customWidth="1"/>
    <col min="30" max="30" width="10.77734375" style="1" customWidth="1"/>
    <col min="31" max="31" width="11" style="1" customWidth="1"/>
    <col min="32" max="32" width="11.6640625" style="1" customWidth="1"/>
    <col min="33" max="33" width="11.5546875" style="1" customWidth="1"/>
    <col min="34" max="34" width="11.88671875" style="1" customWidth="1"/>
    <col min="35" max="35" width="10.21875" style="1" customWidth="1"/>
    <col min="36" max="36" width="16.33203125" style="1" customWidth="1"/>
    <col min="37" max="37" width="23.109375" style="1" customWidth="1"/>
  </cols>
  <sheetData>
    <row r="1" spans="1:37" ht="18" x14ac:dyDescent="0.35">
      <c r="D1" s="19" t="s">
        <v>114</v>
      </c>
      <c r="E1" s="20"/>
      <c r="F1" s="20"/>
      <c r="G1" s="20"/>
      <c r="H1" s="20"/>
      <c r="I1" s="20"/>
      <c r="J1" s="20"/>
      <c r="K1" s="20"/>
      <c r="L1" s="20"/>
      <c r="M1" s="20"/>
      <c r="N1" s="20"/>
      <c r="O1" s="20"/>
      <c r="P1" s="21" t="s">
        <v>115</v>
      </c>
      <c r="Q1" s="21"/>
      <c r="R1" s="21"/>
      <c r="S1" s="21"/>
      <c r="T1" s="21"/>
      <c r="U1" s="21"/>
      <c r="V1" s="21"/>
      <c r="W1" s="21"/>
      <c r="X1" s="21"/>
      <c r="Y1" s="21"/>
      <c r="Z1" s="21"/>
      <c r="AA1" s="22" t="s">
        <v>13</v>
      </c>
      <c r="AB1" s="22"/>
      <c r="AC1" s="22"/>
      <c r="AD1" s="22"/>
      <c r="AE1" s="22"/>
      <c r="AF1" s="22"/>
      <c r="AG1" s="22"/>
      <c r="AH1" s="22"/>
      <c r="AI1" s="22"/>
      <c r="AJ1" s="22"/>
      <c r="AK1" s="22"/>
    </row>
    <row r="2" spans="1:37" x14ac:dyDescent="0.3">
      <c r="A2" s="23" t="s">
        <v>14</v>
      </c>
      <c r="B2" s="24" t="s">
        <v>15</v>
      </c>
      <c r="C2" s="24" t="s">
        <v>16</v>
      </c>
      <c r="D2" s="3" t="s">
        <v>17</v>
      </c>
      <c r="E2" s="3" t="s">
        <v>18</v>
      </c>
      <c r="F2" s="3" t="s">
        <v>19</v>
      </c>
      <c r="G2" s="3" t="s">
        <v>20</v>
      </c>
      <c r="H2" s="3" t="s">
        <v>21</v>
      </c>
      <c r="I2" s="3" t="s">
        <v>22</v>
      </c>
      <c r="J2" s="3" t="s">
        <v>23</v>
      </c>
      <c r="K2" s="3" t="s">
        <v>24</v>
      </c>
      <c r="L2" s="3" t="s">
        <v>25</v>
      </c>
      <c r="M2" s="3" t="s">
        <v>26</v>
      </c>
      <c r="N2" s="3" t="s">
        <v>27</v>
      </c>
      <c r="O2" s="3" t="s">
        <v>104</v>
      </c>
      <c r="P2" s="25" t="s">
        <v>17</v>
      </c>
      <c r="Q2" s="25" t="s">
        <v>28</v>
      </c>
      <c r="R2" s="25" t="s">
        <v>29</v>
      </c>
      <c r="S2" s="25" t="s">
        <v>30</v>
      </c>
      <c r="T2" s="25" t="s">
        <v>31</v>
      </c>
      <c r="U2" s="25" t="s">
        <v>32</v>
      </c>
      <c r="V2" s="25" t="s">
        <v>33</v>
      </c>
      <c r="W2" s="25" t="s">
        <v>34</v>
      </c>
      <c r="X2" s="25" t="s">
        <v>35</v>
      </c>
      <c r="Y2" s="25" t="s">
        <v>36</v>
      </c>
      <c r="Z2" s="25" t="s">
        <v>37</v>
      </c>
      <c r="AA2" s="26" t="s">
        <v>38</v>
      </c>
      <c r="AB2" s="26" t="s">
        <v>28</v>
      </c>
      <c r="AC2" s="26" t="s">
        <v>29</v>
      </c>
      <c r="AD2" s="26" t="s">
        <v>30</v>
      </c>
      <c r="AE2" s="26" t="s">
        <v>31</v>
      </c>
      <c r="AF2" s="26" t="s">
        <v>32</v>
      </c>
      <c r="AG2" s="26" t="s">
        <v>33</v>
      </c>
      <c r="AH2" s="26" t="s">
        <v>34</v>
      </c>
      <c r="AI2" s="26" t="s">
        <v>35</v>
      </c>
      <c r="AJ2" s="26" t="s">
        <v>36</v>
      </c>
      <c r="AK2" s="26" t="s">
        <v>106</v>
      </c>
    </row>
    <row r="3" spans="1:37" x14ac:dyDescent="0.3">
      <c r="A3" t="s">
        <v>39</v>
      </c>
      <c r="B3" s="1">
        <v>2009</v>
      </c>
      <c r="C3" s="1" t="str">
        <f>A3&amp;", "&amp;B3</f>
        <v>Alabama, 2009</v>
      </c>
      <c r="D3" s="27">
        <v>110</v>
      </c>
      <c r="E3" s="27">
        <v>47</v>
      </c>
      <c r="F3" s="27">
        <v>58</v>
      </c>
      <c r="G3" s="27">
        <v>49</v>
      </c>
      <c r="H3" s="27">
        <v>59</v>
      </c>
      <c r="I3" s="27">
        <v>59</v>
      </c>
      <c r="J3" s="27">
        <v>61</v>
      </c>
      <c r="K3" s="27">
        <v>110</v>
      </c>
      <c r="L3" s="27">
        <v>261</v>
      </c>
      <c r="M3" s="27">
        <v>356</v>
      </c>
      <c r="N3" s="27">
        <v>51</v>
      </c>
      <c r="O3" s="28">
        <v>1221</v>
      </c>
      <c r="P3" s="29">
        <v>307928.86300000001</v>
      </c>
      <c r="Q3" s="30">
        <v>619584.35199999996</v>
      </c>
      <c r="R3" s="30">
        <v>656445.02499999979</v>
      </c>
      <c r="S3" s="30">
        <v>601454.68900000001</v>
      </c>
      <c r="T3" s="30">
        <v>631297.47299999988</v>
      </c>
      <c r="U3" s="30">
        <v>665153.42000000027</v>
      </c>
      <c r="V3" s="30">
        <v>525898.70899999992</v>
      </c>
      <c r="W3" s="30">
        <v>336355.46100000001</v>
      </c>
      <c r="X3" s="30">
        <v>213823.889</v>
      </c>
      <c r="Y3" s="30">
        <v>76362.826000000015</v>
      </c>
      <c r="Z3" s="31">
        <v>4633360</v>
      </c>
      <c r="AA3" s="32">
        <f>D3/P3</f>
        <v>3.5722536344376393E-4</v>
      </c>
      <c r="AB3" s="32">
        <f>E3/Q3</f>
        <v>7.5857306351080994E-5</v>
      </c>
      <c r="AC3" s="32">
        <f>F3/R3</f>
        <v>8.8354695048530559E-5</v>
      </c>
      <c r="AD3" s="32">
        <f>G3/S3</f>
        <v>8.1469146215268763E-5</v>
      </c>
      <c r="AE3" s="32">
        <f>H3/T3</f>
        <v>9.3458318024979668E-5</v>
      </c>
      <c r="AF3" s="32">
        <f>I3/U3</f>
        <v>8.8701340511787458E-5</v>
      </c>
      <c r="AG3" s="32">
        <f>J3/V3</f>
        <v>1.159919181319002E-4</v>
      </c>
      <c r="AH3" s="32">
        <f>K3/W3</f>
        <v>3.2703497565630426E-4</v>
      </c>
      <c r="AI3" s="32">
        <f>L3/X3</f>
        <v>1.2206306845349727E-3</v>
      </c>
      <c r="AJ3" s="32">
        <f>M3/Y3</f>
        <v>4.6619542341190976E-3</v>
      </c>
      <c r="AK3" s="33">
        <f>O3/Z3</f>
        <v>2.6352366317316161E-4</v>
      </c>
    </row>
    <row r="4" spans="1:37" x14ac:dyDescent="0.3">
      <c r="A4" t="s">
        <v>39</v>
      </c>
      <c r="B4" s="1">
        <v>2010</v>
      </c>
      <c r="C4" s="1" t="str">
        <f t="shared" ref="C4:C67" si="0">A4&amp;", "&amp;B4</f>
        <v>Alabama, 2010</v>
      </c>
      <c r="D4" s="27">
        <v>106</v>
      </c>
      <c r="E4" s="27">
        <v>50</v>
      </c>
      <c r="F4" s="27">
        <v>42</v>
      </c>
      <c r="G4" s="27">
        <v>63</v>
      </c>
      <c r="H4" s="27">
        <v>46</v>
      </c>
      <c r="I4" s="27">
        <v>62</v>
      </c>
      <c r="J4" s="27">
        <v>79</v>
      </c>
      <c r="K4" s="27">
        <v>152</v>
      </c>
      <c r="L4" s="27">
        <v>263</v>
      </c>
      <c r="M4" s="27">
        <v>348</v>
      </c>
      <c r="N4" s="27">
        <v>63</v>
      </c>
      <c r="O4" s="28">
        <v>1274</v>
      </c>
      <c r="P4" s="29">
        <v>301990.141</v>
      </c>
      <c r="Q4" s="30">
        <v>625325.93500000017</v>
      </c>
      <c r="R4" s="30">
        <v>669416.21299999999</v>
      </c>
      <c r="S4" s="30">
        <v>595474.27599999995</v>
      </c>
      <c r="T4" s="30">
        <v>631224.87200000009</v>
      </c>
      <c r="U4" s="30">
        <v>682970.6540000001</v>
      </c>
      <c r="V4" s="30">
        <v>554102.35499999998</v>
      </c>
      <c r="W4" s="30">
        <v>352196.40899999987</v>
      </c>
      <c r="X4" s="30">
        <v>206901.891</v>
      </c>
      <c r="Y4" s="30">
        <v>74153.068999999959</v>
      </c>
      <c r="Z4" s="31">
        <v>4690384</v>
      </c>
      <c r="AA4" s="32">
        <f t="shared" ref="AA4:AJ67" si="1">D4/P4</f>
        <v>3.5100483628040026E-4</v>
      </c>
      <c r="AB4" s="32">
        <f t="shared" si="1"/>
        <v>7.9958302065306127E-5</v>
      </c>
      <c r="AC4" s="32">
        <f t="shared" si="1"/>
        <v>6.2741235100620423E-5</v>
      </c>
      <c r="AD4" s="32">
        <f t="shared" si="1"/>
        <v>1.057980210718624E-4</v>
      </c>
      <c r="AE4" s="32">
        <f t="shared" si="1"/>
        <v>7.2874188012033832E-5</v>
      </c>
      <c r="AF4" s="32">
        <f t="shared" si="1"/>
        <v>9.0779888765176708E-5</v>
      </c>
      <c r="AG4" s="32">
        <f t="shared" si="1"/>
        <v>1.4257293672754738E-4</v>
      </c>
      <c r="AH4" s="32">
        <f t="shared" si="1"/>
        <v>4.315773702280992E-4</v>
      </c>
      <c r="AI4" s="32">
        <f t="shared" si="1"/>
        <v>1.2711338631506272E-3</v>
      </c>
      <c r="AJ4" s="32">
        <f t="shared" si="1"/>
        <v>4.6929952420445365E-3</v>
      </c>
      <c r="AK4" s="33">
        <f t="shared" ref="AK4:AK67" si="2">O4/Z4</f>
        <v>2.716195518320035E-4</v>
      </c>
    </row>
    <row r="5" spans="1:37" x14ac:dyDescent="0.3">
      <c r="A5" t="s">
        <v>39</v>
      </c>
      <c r="B5" s="1">
        <v>2011</v>
      </c>
      <c r="C5" s="1" t="str">
        <f t="shared" si="0"/>
        <v>Alabama, 2011</v>
      </c>
      <c r="D5" s="27">
        <v>119</v>
      </c>
      <c r="E5" s="27">
        <v>56</v>
      </c>
      <c r="F5" s="27">
        <v>69</v>
      </c>
      <c r="G5" s="27">
        <v>60</v>
      </c>
      <c r="H5" s="27">
        <v>55</v>
      </c>
      <c r="I5" s="27">
        <v>67</v>
      </c>
      <c r="J5" s="27">
        <v>70</v>
      </c>
      <c r="K5" s="27">
        <v>133</v>
      </c>
      <c r="L5" s="27">
        <v>292</v>
      </c>
      <c r="M5" s="27">
        <v>348</v>
      </c>
      <c r="N5" s="27">
        <v>47</v>
      </c>
      <c r="O5" s="28">
        <v>1316</v>
      </c>
      <c r="P5" s="29">
        <v>302465.32700000016</v>
      </c>
      <c r="Q5" s="30">
        <v>624268.93400000001</v>
      </c>
      <c r="R5" s="30">
        <v>673110.75100000005</v>
      </c>
      <c r="S5" s="30">
        <v>600554.1860000001</v>
      </c>
      <c r="T5" s="30">
        <v>621591.47199999972</v>
      </c>
      <c r="U5" s="30">
        <v>685251.40799999994</v>
      </c>
      <c r="V5" s="30">
        <v>571738.58000000019</v>
      </c>
      <c r="W5" s="30">
        <v>361136.25599999994</v>
      </c>
      <c r="X5" s="30">
        <v>209480.69299999997</v>
      </c>
      <c r="Y5" s="30">
        <v>74641.936000000016</v>
      </c>
      <c r="Z5" s="31">
        <v>4724083</v>
      </c>
      <c r="AA5" s="32">
        <f t="shared" si="1"/>
        <v>3.9343352568805325E-4</v>
      </c>
      <c r="AB5" s="32">
        <f t="shared" si="1"/>
        <v>8.9704928357046829E-5</v>
      </c>
      <c r="AC5" s="32">
        <f t="shared" si="1"/>
        <v>1.0250913374580759E-4</v>
      </c>
      <c r="AD5" s="32">
        <f t="shared" si="1"/>
        <v>9.9907720899642503E-5</v>
      </c>
      <c r="AE5" s="32">
        <f t="shared" si="1"/>
        <v>8.8482552411851665E-5</v>
      </c>
      <c r="AF5" s="32">
        <f t="shared" si="1"/>
        <v>9.7774333941974187E-5</v>
      </c>
      <c r="AG5" s="32">
        <f t="shared" si="1"/>
        <v>1.224335779474598E-4</v>
      </c>
      <c r="AH5" s="32">
        <f t="shared" si="1"/>
        <v>3.6828204809211964E-4</v>
      </c>
      <c r="AI5" s="32">
        <f t="shared" si="1"/>
        <v>1.3939232099065093E-3</v>
      </c>
      <c r="AJ5" s="32">
        <f t="shared" si="1"/>
        <v>4.662258492330637E-3</v>
      </c>
      <c r="AK5" s="33">
        <f t="shared" si="2"/>
        <v>2.7857258223447812E-4</v>
      </c>
    </row>
    <row r="6" spans="1:37" x14ac:dyDescent="0.3">
      <c r="A6" t="s">
        <v>39</v>
      </c>
      <c r="B6" s="1">
        <v>2012</v>
      </c>
      <c r="C6" s="1" t="str">
        <f t="shared" si="0"/>
        <v>Alabama, 2012</v>
      </c>
      <c r="D6" s="27">
        <v>113</v>
      </c>
      <c r="E6" s="27">
        <v>53</v>
      </c>
      <c r="F6" s="27">
        <v>36</v>
      </c>
      <c r="G6" s="27">
        <v>44</v>
      </c>
      <c r="H6" s="27">
        <v>57</v>
      </c>
      <c r="I6" s="27">
        <v>43</v>
      </c>
      <c r="J6" s="27">
        <v>62</v>
      </c>
      <c r="K6" s="27">
        <v>120</v>
      </c>
      <c r="L6" s="27">
        <v>270</v>
      </c>
      <c r="M6" s="27">
        <v>358</v>
      </c>
      <c r="N6" s="27">
        <v>44</v>
      </c>
      <c r="O6" s="28">
        <v>1200</v>
      </c>
      <c r="P6" s="29">
        <v>302985.44899999991</v>
      </c>
      <c r="Q6" s="30">
        <v>623402.0630000002</v>
      </c>
      <c r="R6" s="30">
        <v>673585.64200000011</v>
      </c>
      <c r="S6" s="30">
        <v>603422.46700000006</v>
      </c>
      <c r="T6" s="30">
        <v>615637.20899999992</v>
      </c>
      <c r="U6" s="30">
        <v>685031.78700000013</v>
      </c>
      <c r="V6" s="30">
        <v>587077.397</v>
      </c>
      <c r="W6" s="30">
        <v>372511.50500000006</v>
      </c>
      <c r="X6" s="30">
        <v>209116.65100000001</v>
      </c>
      <c r="Y6" s="30">
        <v>77256.960999999981</v>
      </c>
      <c r="Z6" s="31">
        <v>4750085</v>
      </c>
      <c r="AA6" s="32">
        <f t="shared" si="1"/>
        <v>3.7295520419530125E-4</v>
      </c>
      <c r="AB6" s="32">
        <f t="shared" si="1"/>
        <v>8.5017363826080228E-5</v>
      </c>
      <c r="AC6" s="32">
        <f t="shared" si="1"/>
        <v>5.3445319726693337E-5</v>
      </c>
      <c r="AD6" s="32">
        <f t="shared" si="1"/>
        <v>7.2917404316667569E-5</v>
      </c>
      <c r="AE6" s="32">
        <f t="shared" si="1"/>
        <v>9.2586996313278404E-5</v>
      </c>
      <c r="AF6" s="32">
        <f t="shared" si="1"/>
        <v>6.2770809787254434E-5</v>
      </c>
      <c r="AG6" s="32">
        <f t="shared" si="1"/>
        <v>1.0560788120412E-4</v>
      </c>
      <c r="AH6" s="32">
        <f t="shared" si="1"/>
        <v>3.2213770149193107E-4</v>
      </c>
      <c r="AI6" s="32">
        <f t="shared" si="1"/>
        <v>1.2911453904261309E-3</v>
      </c>
      <c r="AJ6" s="32">
        <f t="shared" si="1"/>
        <v>4.6338866474439772E-3</v>
      </c>
      <c r="AK6" s="33">
        <f t="shared" si="2"/>
        <v>2.5262705825264181E-4</v>
      </c>
    </row>
    <row r="7" spans="1:37" x14ac:dyDescent="0.3">
      <c r="A7" t="s">
        <v>39</v>
      </c>
      <c r="B7" s="1">
        <v>2013</v>
      </c>
      <c r="C7" s="1" t="str">
        <f t="shared" si="0"/>
        <v>Alabama, 2013</v>
      </c>
      <c r="D7" s="27">
        <v>98</v>
      </c>
      <c r="E7" s="27">
        <v>67</v>
      </c>
      <c r="F7" s="27">
        <v>45</v>
      </c>
      <c r="G7" s="27">
        <v>49</v>
      </c>
      <c r="H7" s="27">
        <v>57</v>
      </c>
      <c r="I7" s="27">
        <v>93</v>
      </c>
      <c r="J7" s="27">
        <v>115</v>
      </c>
      <c r="K7" s="27">
        <v>124</v>
      </c>
      <c r="L7" s="27">
        <v>283</v>
      </c>
      <c r="M7" s="27">
        <v>381</v>
      </c>
      <c r="N7" s="27">
        <v>74</v>
      </c>
      <c r="O7" s="28">
        <v>1386</v>
      </c>
      <c r="P7" s="29">
        <v>290586.27800000005</v>
      </c>
      <c r="Q7" s="30">
        <v>603626.75000000012</v>
      </c>
      <c r="R7" s="30">
        <v>658280.50600000005</v>
      </c>
      <c r="S7" s="30">
        <v>593310.56799999997</v>
      </c>
      <c r="T7" s="30">
        <v>591727.72899999993</v>
      </c>
      <c r="U7" s="30">
        <v>659986.22199999995</v>
      </c>
      <c r="V7" s="30">
        <v>585877.94099999976</v>
      </c>
      <c r="W7" s="30">
        <v>374953.28600000008</v>
      </c>
      <c r="X7" s="30">
        <v>208524.73200000002</v>
      </c>
      <c r="Y7" s="30">
        <v>77352.134999999966</v>
      </c>
      <c r="Z7" s="31">
        <v>4642560</v>
      </c>
      <c r="AA7" s="32">
        <f t="shared" si="1"/>
        <v>3.3724923514798585E-4</v>
      </c>
      <c r="AB7" s="32">
        <f t="shared" si="1"/>
        <v>1.1099574364456179E-4</v>
      </c>
      <c r="AC7" s="32">
        <f t="shared" si="1"/>
        <v>6.8359915856296063E-5</v>
      </c>
      <c r="AD7" s="32">
        <f t="shared" si="1"/>
        <v>8.2587438422300282E-5</v>
      </c>
      <c r="AE7" s="32">
        <f t="shared" si="1"/>
        <v>9.6328086730578086E-5</v>
      </c>
      <c r="AF7" s="32">
        <f t="shared" si="1"/>
        <v>1.4091203255452205E-4</v>
      </c>
      <c r="AG7" s="32">
        <f t="shared" si="1"/>
        <v>1.9628661868325922E-4</v>
      </c>
      <c r="AH7" s="32">
        <f t="shared" si="1"/>
        <v>3.3070786316565307E-4</v>
      </c>
      <c r="AI7" s="32">
        <f t="shared" si="1"/>
        <v>1.3571531649300955E-3</v>
      </c>
      <c r="AJ7" s="32">
        <f t="shared" si="1"/>
        <v>4.9255266192717263E-3</v>
      </c>
      <c r="AK7" s="33">
        <f t="shared" si="2"/>
        <v>2.985421836228288E-4</v>
      </c>
    </row>
    <row r="8" spans="1:37" x14ac:dyDescent="0.3">
      <c r="A8" t="s">
        <v>39</v>
      </c>
      <c r="B8" s="1">
        <v>2014</v>
      </c>
      <c r="C8" s="1" t="str">
        <f t="shared" si="0"/>
        <v>Alabama, 2014</v>
      </c>
      <c r="D8" s="27">
        <v>117</v>
      </c>
      <c r="E8" s="27">
        <v>69</v>
      </c>
      <c r="F8" s="27">
        <v>45</v>
      </c>
      <c r="G8" s="27">
        <v>52</v>
      </c>
      <c r="H8" s="27">
        <v>78</v>
      </c>
      <c r="I8" s="27">
        <v>73</v>
      </c>
      <c r="J8" s="27">
        <v>86</v>
      </c>
      <c r="K8" s="27">
        <v>175</v>
      </c>
      <c r="L8" s="27">
        <v>261</v>
      </c>
      <c r="M8" s="27">
        <v>345</v>
      </c>
      <c r="N8" s="27">
        <v>44</v>
      </c>
      <c r="O8" s="28">
        <v>1345</v>
      </c>
      <c r="P8" s="29">
        <v>280763.57899999997</v>
      </c>
      <c r="Q8" s="30">
        <v>585212.74899999995</v>
      </c>
      <c r="R8" s="30">
        <v>634099.12400000007</v>
      </c>
      <c r="S8" s="30">
        <v>583109.21900000016</v>
      </c>
      <c r="T8" s="30">
        <v>572361.62399999995</v>
      </c>
      <c r="U8" s="30">
        <v>630741.91700000002</v>
      </c>
      <c r="V8" s="30">
        <v>571194.49200000009</v>
      </c>
      <c r="W8" s="30">
        <v>370208.02700000006</v>
      </c>
      <c r="X8" s="30">
        <v>201733.93699999998</v>
      </c>
      <c r="Y8" s="30">
        <v>74948.271000000022</v>
      </c>
      <c r="Z8" s="31">
        <v>4505293</v>
      </c>
      <c r="AA8" s="32">
        <f t="shared" si="1"/>
        <v>4.1672071718390518E-4</v>
      </c>
      <c r="AB8" s="32">
        <f t="shared" si="1"/>
        <v>1.1790583871917665E-4</v>
      </c>
      <c r="AC8" s="32">
        <f t="shared" si="1"/>
        <v>7.0966822531046418E-5</v>
      </c>
      <c r="AD8" s="32">
        <f t="shared" si="1"/>
        <v>8.9177118635128255E-5</v>
      </c>
      <c r="AE8" s="32">
        <f t="shared" si="1"/>
        <v>1.3627748040633838E-4</v>
      </c>
      <c r="AF8" s="32">
        <f t="shared" si="1"/>
        <v>1.1573671898517567E-4</v>
      </c>
      <c r="AG8" s="32">
        <f t="shared" si="1"/>
        <v>1.5056167593436806E-4</v>
      </c>
      <c r="AH8" s="32">
        <f t="shared" si="1"/>
        <v>4.7270720037629E-4</v>
      </c>
      <c r="AI8" s="32">
        <f t="shared" si="1"/>
        <v>1.2937833062763259E-3</v>
      </c>
      <c r="AJ8" s="32">
        <f t="shared" si="1"/>
        <v>4.6031749017932631E-3</v>
      </c>
      <c r="AK8" s="33">
        <f t="shared" si="2"/>
        <v>2.9853774216238545E-4</v>
      </c>
    </row>
    <row r="9" spans="1:37" x14ac:dyDescent="0.3">
      <c r="A9" t="s">
        <v>39</v>
      </c>
      <c r="B9" s="1">
        <v>2015</v>
      </c>
      <c r="C9" s="1" t="str">
        <f t="shared" si="0"/>
        <v>Alabama, 2015</v>
      </c>
      <c r="D9" s="27">
        <v>114</v>
      </c>
      <c r="E9" s="27">
        <v>56</v>
      </c>
      <c r="F9" s="27">
        <v>64</v>
      </c>
      <c r="G9" s="27">
        <v>49</v>
      </c>
      <c r="H9" s="27">
        <v>65</v>
      </c>
      <c r="I9" s="27">
        <v>64</v>
      </c>
      <c r="J9" s="27">
        <v>117</v>
      </c>
      <c r="K9" s="27">
        <v>195</v>
      </c>
      <c r="L9" s="27">
        <v>308</v>
      </c>
      <c r="M9" s="27">
        <v>381</v>
      </c>
      <c r="N9" s="27">
        <v>54</v>
      </c>
      <c r="O9" s="28">
        <v>1467</v>
      </c>
      <c r="P9" s="29">
        <v>268923.61100000003</v>
      </c>
      <c r="Q9" s="30">
        <v>567221.44700000004</v>
      </c>
      <c r="R9" s="30">
        <v>612740.58800000011</v>
      </c>
      <c r="S9" s="30">
        <v>570455.38200000022</v>
      </c>
      <c r="T9" s="30">
        <v>554026.66799999995</v>
      </c>
      <c r="U9" s="30">
        <v>603634.74200000009</v>
      </c>
      <c r="V9" s="30">
        <v>563499.20499999973</v>
      </c>
      <c r="W9" s="30">
        <v>374005.2</v>
      </c>
      <c r="X9" s="30">
        <v>198233.03499999997</v>
      </c>
      <c r="Y9" s="30">
        <v>74328.532000000007</v>
      </c>
      <c r="Z9" s="31">
        <v>4387292</v>
      </c>
      <c r="AA9" s="32">
        <f t="shared" si="1"/>
        <v>4.2391220159541883E-4</v>
      </c>
      <c r="AB9" s="32">
        <f t="shared" si="1"/>
        <v>9.872687342162504E-5</v>
      </c>
      <c r="AC9" s="32">
        <f t="shared" si="1"/>
        <v>1.0444876878304655E-4</v>
      </c>
      <c r="AD9" s="32">
        <f t="shared" si="1"/>
        <v>8.5896288379658022E-5</v>
      </c>
      <c r="AE9" s="32">
        <f t="shared" si="1"/>
        <v>1.173228722628926E-4</v>
      </c>
      <c r="AF9" s="32">
        <f t="shared" si="1"/>
        <v>1.0602438121429398E-4</v>
      </c>
      <c r="AG9" s="32">
        <f t="shared" si="1"/>
        <v>2.0763117136962076E-4</v>
      </c>
      <c r="AH9" s="32">
        <f t="shared" si="1"/>
        <v>5.2138312515440956E-4</v>
      </c>
      <c r="AI9" s="32">
        <f t="shared" si="1"/>
        <v>1.5537269053061719E-3</v>
      </c>
      <c r="AJ9" s="32">
        <f t="shared" si="1"/>
        <v>5.1258916293409366E-3</v>
      </c>
      <c r="AK9" s="33">
        <f t="shared" si="2"/>
        <v>3.3437482620258694E-4</v>
      </c>
    </row>
    <row r="10" spans="1:37" x14ac:dyDescent="0.3">
      <c r="A10" t="s">
        <v>39</v>
      </c>
      <c r="B10" s="1">
        <v>2016</v>
      </c>
      <c r="C10" s="1" t="str">
        <f t="shared" si="0"/>
        <v>Alabama, 2016</v>
      </c>
      <c r="D10" s="27">
        <v>95</v>
      </c>
      <c r="E10" s="27">
        <v>51</v>
      </c>
      <c r="F10" s="27">
        <v>47</v>
      </c>
      <c r="G10" s="27">
        <v>56</v>
      </c>
      <c r="H10" s="27">
        <v>57</v>
      </c>
      <c r="I10" s="27">
        <v>65</v>
      </c>
      <c r="J10" s="27">
        <v>123</v>
      </c>
      <c r="K10" s="27">
        <v>191</v>
      </c>
      <c r="L10" s="27">
        <v>277</v>
      </c>
      <c r="M10" s="27">
        <v>289</v>
      </c>
      <c r="N10" s="27">
        <v>71</v>
      </c>
      <c r="O10" s="28">
        <v>1322</v>
      </c>
      <c r="P10" s="29">
        <v>273074.40200000006</v>
      </c>
      <c r="Q10" s="30">
        <v>579026.22000000009</v>
      </c>
      <c r="R10" s="30">
        <v>624984.3690000003</v>
      </c>
      <c r="S10" s="30">
        <v>587300.13499999989</v>
      </c>
      <c r="T10" s="30">
        <v>569307.80099999998</v>
      </c>
      <c r="U10" s="30">
        <v>616568.13599999994</v>
      </c>
      <c r="V10" s="30">
        <v>591634.84299999999</v>
      </c>
      <c r="W10" s="30">
        <v>408093.89999999991</v>
      </c>
      <c r="X10" s="30">
        <v>211824.26400000002</v>
      </c>
      <c r="Y10" s="30">
        <v>78688.534999999989</v>
      </c>
      <c r="Z10" s="31">
        <v>4540957</v>
      </c>
      <c r="AA10" s="32">
        <f t="shared" si="1"/>
        <v>3.4789053570828649E-4</v>
      </c>
      <c r="AB10" s="32">
        <f t="shared" si="1"/>
        <v>8.8078912903115155E-5</v>
      </c>
      <c r="AC10" s="32">
        <f t="shared" si="1"/>
        <v>7.5201880768957239E-5</v>
      </c>
      <c r="AD10" s="32">
        <f t="shared" si="1"/>
        <v>9.5351587140363945E-5</v>
      </c>
      <c r="AE10" s="32">
        <f t="shared" si="1"/>
        <v>1.0012158607326022E-4</v>
      </c>
      <c r="AF10" s="32">
        <f t="shared" si="1"/>
        <v>1.0542224971547995E-4</v>
      </c>
      <c r="AG10" s="32">
        <f t="shared" si="1"/>
        <v>2.0789850607226662E-4</v>
      </c>
      <c r="AH10" s="32">
        <f t="shared" si="1"/>
        <v>4.6802953928005308E-4</v>
      </c>
      <c r="AI10" s="32">
        <f t="shared" si="1"/>
        <v>1.3076877727284347E-3</v>
      </c>
      <c r="AJ10" s="32">
        <f t="shared" si="1"/>
        <v>3.6727078474646916E-3</v>
      </c>
      <c r="AK10" s="33">
        <f t="shared" si="2"/>
        <v>2.9112805956982193E-4</v>
      </c>
    </row>
    <row r="11" spans="1:37" x14ac:dyDescent="0.3">
      <c r="A11" t="s">
        <v>39</v>
      </c>
      <c r="B11" s="1">
        <v>2017</v>
      </c>
      <c r="C11" s="1" t="str">
        <f t="shared" si="0"/>
        <v>Alabama, 2017</v>
      </c>
      <c r="D11" s="27">
        <v>129</v>
      </c>
      <c r="E11" s="27">
        <v>61</v>
      </c>
      <c r="F11" s="27">
        <v>48</v>
      </c>
      <c r="G11" s="27">
        <v>54</v>
      </c>
      <c r="H11" s="27">
        <v>34</v>
      </c>
      <c r="I11" s="27">
        <v>66</v>
      </c>
      <c r="J11" s="27">
        <v>114</v>
      </c>
      <c r="K11" s="27">
        <v>227</v>
      </c>
      <c r="L11" s="27">
        <v>338</v>
      </c>
      <c r="M11" s="27">
        <v>375</v>
      </c>
      <c r="N11" s="27">
        <v>47</v>
      </c>
      <c r="O11" s="28">
        <v>1493</v>
      </c>
      <c r="P11" s="29">
        <v>276536</v>
      </c>
      <c r="Q11" s="30">
        <v>584120</v>
      </c>
      <c r="R11" s="30">
        <v>629757</v>
      </c>
      <c r="S11" s="30">
        <v>596399</v>
      </c>
      <c r="T11" s="30">
        <v>570061</v>
      </c>
      <c r="U11" s="30">
        <v>613579</v>
      </c>
      <c r="V11" s="30">
        <v>602645</v>
      </c>
      <c r="W11" s="30">
        <v>423368</v>
      </c>
      <c r="X11" s="30">
        <v>216758</v>
      </c>
      <c r="Y11" s="30">
        <v>78846</v>
      </c>
      <c r="Z11" s="31">
        <v>4592069</v>
      </c>
      <c r="AA11" s="32">
        <f t="shared" si="1"/>
        <v>4.6648537622588019E-4</v>
      </c>
      <c r="AB11" s="32">
        <f t="shared" si="1"/>
        <v>1.0443059645278368E-4</v>
      </c>
      <c r="AC11" s="32">
        <f t="shared" si="1"/>
        <v>7.6219875285229058E-5</v>
      </c>
      <c r="AD11" s="32">
        <f t="shared" si="1"/>
        <v>9.0543411373929201E-5</v>
      </c>
      <c r="AE11" s="32">
        <f t="shared" si="1"/>
        <v>5.9642739987475026E-5</v>
      </c>
      <c r="AF11" s="32">
        <f t="shared" si="1"/>
        <v>1.0756561094822345E-4</v>
      </c>
      <c r="AG11" s="32">
        <f t="shared" si="1"/>
        <v>1.8916609280754011E-4</v>
      </c>
      <c r="AH11" s="32">
        <f t="shared" si="1"/>
        <v>5.3617656506868734E-4</v>
      </c>
      <c r="AI11" s="32">
        <f t="shared" si="1"/>
        <v>1.5593426770868896E-3</v>
      </c>
      <c r="AJ11" s="32">
        <f t="shared" si="1"/>
        <v>4.7561068411840803E-3</v>
      </c>
      <c r="AK11" s="33">
        <f t="shared" si="2"/>
        <v>3.2512577663793815E-4</v>
      </c>
    </row>
    <row r="12" spans="1:37" x14ac:dyDescent="0.3">
      <c r="A12" t="s">
        <v>40</v>
      </c>
      <c r="B12" s="1">
        <v>2009</v>
      </c>
      <c r="C12" s="1" t="str">
        <f t="shared" si="0"/>
        <v>Alaska, 2009</v>
      </c>
      <c r="D12" s="27">
        <v>122</v>
      </c>
      <c r="E12" s="27">
        <v>51</v>
      </c>
      <c r="F12" s="27">
        <v>47</v>
      </c>
      <c r="G12" s="27">
        <v>63</v>
      </c>
      <c r="H12" s="27">
        <v>48</v>
      </c>
      <c r="I12" s="27">
        <v>53</v>
      </c>
      <c r="J12" s="27">
        <v>61</v>
      </c>
      <c r="K12" s="27">
        <v>51</v>
      </c>
      <c r="L12" s="27">
        <v>66</v>
      </c>
      <c r="M12" s="27">
        <v>39</v>
      </c>
      <c r="N12" s="27">
        <v>64</v>
      </c>
      <c r="O12" s="28">
        <v>665</v>
      </c>
      <c r="P12" s="29">
        <v>52103.368999999999</v>
      </c>
      <c r="Q12" s="30">
        <v>98091.996999999988</v>
      </c>
      <c r="R12" s="30">
        <v>113846.814</v>
      </c>
      <c r="S12" s="30">
        <v>97175.08600000001</v>
      </c>
      <c r="T12" s="30">
        <v>96188.664999999994</v>
      </c>
      <c r="U12" s="30">
        <v>107008.77699999999</v>
      </c>
      <c r="V12" s="30">
        <v>71294.965000000026</v>
      </c>
      <c r="W12" s="30">
        <v>29675.831000000002</v>
      </c>
      <c r="X12" s="30">
        <v>13770.125000000004</v>
      </c>
      <c r="Y12" s="30">
        <v>4362.7529999999997</v>
      </c>
      <c r="Z12" s="31">
        <v>683142</v>
      </c>
      <c r="AA12" s="32">
        <f t="shared" si="1"/>
        <v>2.3414992608251496E-3</v>
      </c>
      <c r="AB12" s="32">
        <f t="shared" si="1"/>
        <v>5.1992009093259673E-4</v>
      </c>
      <c r="AC12" s="32">
        <f t="shared" si="1"/>
        <v>4.1283544395014868E-4</v>
      </c>
      <c r="AD12" s="32">
        <f t="shared" si="1"/>
        <v>6.4831432204752557E-4</v>
      </c>
      <c r="AE12" s="32">
        <f t="shared" si="1"/>
        <v>4.9901929712820113E-4</v>
      </c>
      <c r="AF12" s="32">
        <f t="shared" si="1"/>
        <v>4.9528647542621668E-4</v>
      </c>
      <c r="AG12" s="32">
        <f t="shared" si="1"/>
        <v>8.5560039197718908E-4</v>
      </c>
      <c r="AH12" s="32">
        <f t="shared" si="1"/>
        <v>1.7185702398696096E-3</v>
      </c>
      <c r="AI12" s="32">
        <f t="shared" si="1"/>
        <v>4.7929848131371341E-3</v>
      </c>
      <c r="AJ12" s="32">
        <f t="shared" si="1"/>
        <v>8.9393096514975758E-3</v>
      </c>
      <c r="AK12" s="33">
        <f t="shared" si="2"/>
        <v>9.7344329583014949E-4</v>
      </c>
    </row>
    <row r="13" spans="1:37" x14ac:dyDescent="0.3">
      <c r="A13" t="s">
        <v>40</v>
      </c>
      <c r="B13" s="1">
        <v>2010</v>
      </c>
      <c r="C13" s="1" t="str">
        <f t="shared" si="0"/>
        <v>Alaska, 2010</v>
      </c>
      <c r="D13" s="27">
        <v>108</v>
      </c>
      <c r="E13" s="27">
        <v>78</v>
      </c>
      <c r="F13" s="27">
        <v>50</v>
      </c>
      <c r="G13" s="27">
        <v>62</v>
      </c>
      <c r="H13" s="27">
        <v>81</v>
      </c>
      <c r="I13" s="27">
        <v>67</v>
      </c>
      <c r="J13" s="27">
        <v>64</v>
      </c>
      <c r="K13" s="27">
        <v>51</v>
      </c>
      <c r="L13" s="27">
        <v>79</v>
      </c>
      <c r="M13" s="27">
        <v>44</v>
      </c>
      <c r="N13" s="27">
        <v>49</v>
      </c>
      <c r="O13" s="28">
        <v>733</v>
      </c>
      <c r="P13" s="29">
        <v>50305.910999999993</v>
      </c>
      <c r="Q13" s="30">
        <v>98262.351999999984</v>
      </c>
      <c r="R13" s="30">
        <v>106797.485</v>
      </c>
      <c r="S13" s="30">
        <v>91820.862000000023</v>
      </c>
      <c r="T13" s="30">
        <v>93582.536999999997</v>
      </c>
      <c r="U13" s="30">
        <v>106996.27200000001</v>
      </c>
      <c r="V13" s="30">
        <v>76215.224000000017</v>
      </c>
      <c r="W13" s="30">
        <v>31384.032000000007</v>
      </c>
      <c r="X13" s="30">
        <v>14062.270999999993</v>
      </c>
      <c r="Y13" s="30">
        <v>4221.7450000000008</v>
      </c>
      <c r="Z13" s="31">
        <v>673548</v>
      </c>
      <c r="AA13" s="32">
        <f t="shared" si="1"/>
        <v>2.1468650075733646E-3</v>
      </c>
      <c r="AB13" s="32">
        <f t="shared" si="1"/>
        <v>7.9379333399224976E-4</v>
      </c>
      <c r="AC13" s="32">
        <f t="shared" si="1"/>
        <v>4.6817581893431292E-4</v>
      </c>
      <c r="AD13" s="32">
        <f t="shared" si="1"/>
        <v>6.7522781478570725E-4</v>
      </c>
      <c r="AE13" s="32">
        <f t="shared" si="1"/>
        <v>8.6554610076450484E-4</v>
      </c>
      <c r="AF13" s="32">
        <f t="shared" si="1"/>
        <v>6.261900414623791E-4</v>
      </c>
      <c r="AG13" s="32">
        <f t="shared" si="1"/>
        <v>8.3972724399524151E-4</v>
      </c>
      <c r="AH13" s="32">
        <f t="shared" si="1"/>
        <v>1.625030206443837E-3</v>
      </c>
      <c r="AI13" s="32">
        <f t="shared" si="1"/>
        <v>5.6178692616576679E-3</v>
      </c>
      <c r="AJ13" s="32">
        <f t="shared" si="1"/>
        <v>1.0422230617907995E-2</v>
      </c>
      <c r="AK13" s="33">
        <f t="shared" si="2"/>
        <v>1.0882669089656565E-3</v>
      </c>
    </row>
    <row r="14" spans="1:37" x14ac:dyDescent="0.3">
      <c r="A14" t="s">
        <v>40</v>
      </c>
      <c r="B14" s="1">
        <v>2011</v>
      </c>
      <c r="C14" s="1" t="str">
        <f t="shared" si="0"/>
        <v>Alaska, 2011</v>
      </c>
      <c r="D14" s="27">
        <v>106</v>
      </c>
      <c r="E14" s="27">
        <v>47</v>
      </c>
      <c r="F14" s="27">
        <v>58</v>
      </c>
      <c r="G14" s="27">
        <v>36</v>
      </c>
      <c r="H14" s="27">
        <v>62</v>
      </c>
      <c r="I14" s="27">
        <v>36</v>
      </c>
      <c r="J14" s="27">
        <v>56</v>
      </c>
      <c r="K14" s="27">
        <v>59</v>
      </c>
      <c r="L14" s="27">
        <v>49</v>
      </c>
      <c r="M14" s="27">
        <v>64</v>
      </c>
      <c r="N14" s="27">
        <v>58</v>
      </c>
      <c r="O14" s="28">
        <v>631</v>
      </c>
      <c r="P14" s="29">
        <v>49320.758000000002</v>
      </c>
      <c r="Q14" s="30">
        <v>95649.268000000055</v>
      </c>
      <c r="R14" s="30">
        <v>102347.12300000001</v>
      </c>
      <c r="S14" s="30">
        <v>93628.767000000036</v>
      </c>
      <c r="T14" s="30">
        <v>90209.519000000015</v>
      </c>
      <c r="U14" s="30">
        <v>105024.54299999998</v>
      </c>
      <c r="V14" s="30">
        <v>78744.330999999962</v>
      </c>
      <c r="W14" s="30">
        <v>32341.642000000003</v>
      </c>
      <c r="X14" s="30">
        <v>14472.803</v>
      </c>
      <c r="Y14" s="30">
        <v>4042.532999999999</v>
      </c>
      <c r="Z14" s="31">
        <v>665600</v>
      </c>
      <c r="AA14" s="32">
        <f t="shared" si="1"/>
        <v>2.1491964904513431E-3</v>
      </c>
      <c r="AB14" s="32">
        <f t="shared" si="1"/>
        <v>4.9137856444442392E-4</v>
      </c>
      <c r="AC14" s="32">
        <f t="shared" si="1"/>
        <v>5.666988802411182E-4</v>
      </c>
      <c r="AD14" s="32">
        <f t="shared" si="1"/>
        <v>3.8449721334042543E-4</v>
      </c>
      <c r="AE14" s="32">
        <f t="shared" si="1"/>
        <v>6.8728888799418153E-4</v>
      </c>
      <c r="AF14" s="32">
        <f t="shared" si="1"/>
        <v>3.4277702117685015E-4</v>
      </c>
      <c r="AG14" s="32">
        <f t="shared" si="1"/>
        <v>7.1116230576649415E-4</v>
      </c>
      <c r="AH14" s="32">
        <f t="shared" si="1"/>
        <v>1.8242734861761191E-3</v>
      </c>
      <c r="AI14" s="32">
        <f t="shared" si="1"/>
        <v>3.3856606767880418E-3</v>
      </c>
      <c r="AJ14" s="32">
        <f t="shared" si="1"/>
        <v>1.5831658022334022E-2</v>
      </c>
      <c r="AK14" s="33">
        <f t="shared" si="2"/>
        <v>9.4801682692307687E-4</v>
      </c>
    </row>
    <row r="15" spans="1:37" x14ac:dyDescent="0.3">
      <c r="A15" t="s">
        <v>40</v>
      </c>
      <c r="B15" s="1">
        <v>2012</v>
      </c>
      <c r="C15" s="1" t="str">
        <f t="shared" si="0"/>
        <v>Alaska, 2012</v>
      </c>
      <c r="D15" s="27">
        <v>116</v>
      </c>
      <c r="E15" s="27">
        <v>57</v>
      </c>
      <c r="F15" s="27">
        <v>60</v>
      </c>
      <c r="G15" s="27">
        <v>59</v>
      </c>
      <c r="H15" s="27">
        <v>57</v>
      </c>
      <c r="I15" s="27">
        <v>59</v>
      </c>
      <c r="J15" s="27">
        <v>64</v>
      </c>
      <c r="K15" s="27">
        <v>57</v>
      </c>
      <c r="L15" s="27">
        <v>51</v>
      </c>
      <c r="M15" s="27">
        <v>63</v>
      </c>
      <c r="N15" s="27">
        <v>65</v>
      </c>
      <c r="O15" s="28">
        <v>708</v>
      </c>
      <c r="P15" s="29">
        <v>49721.99</v>
      </c>
      <c r="Q15" s="30">
        <v>94466.862999999998</v>
      </c>
      <c r="R15" s="30">
        <v>101767.239</v>
      </c>
      <c r="S15" s="30">
        <v>96678.03</v>
      </c>
      <c r="T15" s="30">
        <v>87902.498000000007</v>
      </c>
      <c r="U15" s="30">
        <v>102036.95700000002</v>
      </c>
      <c r="V15" s="30">
        <v>80437.481</v>
      </c>
      <c r="W15" s="30">
        <v>33067.452000000005</v>
      </c>
      <c r="X15" s="30">
        <v>14286.484999999999</v>
      </c>
      <c r="Y15" s="30">
        <v>4330.8010000000004</v>
      </c>
      <c r="Z15" s="31">
        <v>664657</v>
      </c>
      <c r="AA15" s="32">
        <f t="shared" si="1"/>
        <v>2.3329717897453421E-3</v>
      </c>
      <c r="AB15" s="32">
        <f t="shared" si="1"/>
        <v>6.0338618421149439E-4</v>
      </c>
      <c r="AC15" s="32">
        <f t="shared" si="1"/>
        <v>5.8958069993428829E-4</v>
      </c>
      <c r="AD15" s="32">
        <f t="shared" si="1"/>
        <v>6.1027308893240792E-4</v>
      </c>
      <c r="AE15" s="32">
        <f t="shared" si="1"/>
        <v>6.4844573586520828E-4</v>
      </c>
      <c r="AF15" s="32">
        <f t="shared" si="1"/>
        <v>5.7822186916060218E-4</v>
      </c>
      <c r="AG15" s="32">
        <f t="shared" si="1"/>
        <v>7.9564898358763867E-4</v>
      </c>
      <c r="AH15" s="32">
        <f t="shared" si="1"/>
        <v>1.7237493835327859E-3</v>
      </c>
      <c r="AI15" s="32">
        <f t="shared" si="1"/>
        <v>3.5698074088902905E-3</v>
      </c>
      <c r="AJ15" s="32">
        <f t="shared" si="1"/>
        <v>1.4546962559581933E-2</v>
      </c>
      <c r="AK15" s="33">
        <f t="shared" si="2"/>
        <v>1.0652110787970337E-3</v>
      </c>
    </row>
    <row r="16" spans="1:37" x14ac:dyDescent="0.3">
      <c r="A16" t="s">
        <v>40</v>
      </c>
      <c r="B16" s="1">
        <v>2013</v>
      </c>
      <c r="C16" s="1" t="str">
        <f t="shared" si="0"/>
        <v>Alaska, 2013</v>
      </c>
      <c r="D16" s="27">
        <v>104</v>
      </c>
      <c r="E16" s="27">
        <v>57</v>
      </c>
      <c r="F16" s="27">
        <v>56</v>
      </c>
      <c r="G16" s="27">
        <v>54</v>
      </c>
      <c r="H16" s="27">
        <v>49</v>
      </c>
      <c r="I16" s="27">
        <v>52</v>
      </c>
      <c r="J16" s="27">
        <v>65</v>
      </c>
      <c r="K16" s="27">
        <v>44</v>
      </c>
      <c r="L16" s="27">
        <v>58</v>
      </c>
      <c r="M16" s="27">
        <v>35</v>
      </c>
      <c r="N16" s="27">
        <v>39</v>
      </c>
      <c r="O16" s="28">
        <v>613</v>
      </c>
      <c r="P16" s="29">
        <v>51084.610000000015</v>
      </c>
      <c r="Q16" s="30">
        <v>96649.625999999989</v>
      </c>
      <c r="R16" s="30">
        <v>104651.939</v>
      </c>
      <c r="S16" s="30">
        <v>102427.69999999998</v>
      </c>
      <c r="T16" s="30">
        <v>88291.72600000001</v>
      </c>
      <c r="U16" s="30">
        <v>102084.94100000001</v>
      </c>
      <c r="V16" s="30">
        <v>86074.991999999998</v>
      </c>
      <c r="W16" s="30">
        <v>37588.161</v>
      </c>
      <c r="X16" s="30">
        <v>15559.050000000001</v>
      </c>
      <c r="Y16" s="30">
        <v>5207.1130000000003</v>
      </c>
      <c r="Z16" s="31">
        <v>689764</v>
      </c>
      <c r="AA16" s="32">
        <f t="shared" si="1"/>
        <v>2.0358381907975803E-3</v>
      </c>
      <c r="AB16" s="32">
        <f t="shared" si="1"/>
        <v>5.897591367813467E-4</v>
      </c>
      <c r="AC16" s="32">
        <f t="shared" si="1"/>
        <v>5.3510714216198135E-4</v>
      </c>
      <c r="AD16" s="32">
        <f t="shared" si="1"/>
        <v>5.272011379734194E-4</v>
      </c>
      <c r="AE16" s="32">
        <f t="shared" si="1"/>
        <v>5.5497839061386105E-4</v>
      </c>
      <c r="AF16" s="32">
        <f t="shared" si="1"/>
        <v>5.0937973309892978E-4</v>
      </c>
      <c r="AG16" s="32">
        <f t="shared" si="1"/>
        <v>7.5515545792905793E-4</v>
      </c>
      <c r="AH16" s="32">
        <f t="shared" si="1"/>
        <v>1.1705813434182109E-3</v>
      </c>
      <c r="AI16" s="32">
        <f t="shared" si="1"/>
        <v>3.7277340197505631E-3</v>
      </c>
      <c r="AJ16" s="32">
        <f t="shared" si="1"/>
        <v>6.7215748918834674E-3</v>
      </c>
      <c r="AK16" s="33">
        <f t="shared" si="2"/>
        <v>8.8870976159961953E-4</v>
      </c>
    </row>
    <row r="17" spans="1:37" x14ac:dyDescent="0.3">
      <c r="A17" t="s">
        <v>40</v>
      </c>
      <c r="B17" s="1">
        <v>2014</v>
      </c>
      <c r="C17" s="1" t="str">
        <f t="shared" si="0"/>
        <v>Alaska, 2014</v>
      </c>
      <c r="D17" s="27">
        <v>111</v>
      </c>
      <c r="E17" s="27">
        <v>49</v>
      </c>
      <c r="F17" s="27">
        <v>40</v>
      </c>
      <c r="G17" s="27">
        <v>25</v>
      </c>
      <c r="H17" s="27">
        <v>41</v>
      </c>
      <c r="I17" s="27">
        <v>60</v>
      </c>
      <c r="J17" s="27">
        <v>64</v>
      </c>
      <c r="K17" s="27">
        <v>54</v>
      </c>
      <c r="L17" s="27">
        <v>54</v>
      </c>
      <c r="M17" s="27">
        <v>50</v>
      </c>
      <c r="N17" s="27">
        <v>49</v>
      </c>
      <c r="O17" s="28">
        <v>597</v>
      </c>
      <c r="P17" s="29">
        <v>46261.763000000006</v>
      </c>
      <c r="Q17" s="30">
        <v>87223.317999999999</v>
      </c>
      <c r="R17" s="30">
        <v>95751.937000000005</v>
      </c>
      <c r="S17" s="30">
        <v>97467.721999999994</v>
      </c>
      <c r="T17" s="30">
        <v>80104.26999999999</v>
      </c>
      <c r="U17" s="30">
        <v>88994.760000000009</v>
      </c>
      <c r="V17" s="30">
        <v>76517.833999999973</v>
      </c>
      <c r="W17" s="30">
        <v>35369.340000000004</v>
      </c>
      <c r="X17" s="30">
        <v>14523.494000000001</v>
      </c>
      <c r="Y17" s="30">
        <v>5129.0210000000006</v>
      </c>
      <c r="Z17" s="31">
        <v>627018</v>
      </c>
      <c r="AA17" s="32">
        <f t="shared" si="1"/>
        <v>2.399389750883467E-3</v>
      </c>
      <c r="AB17" s="32">
        <f t="shared" si="1"/>
        <v>5.6177638186155675E-4</v>
      </c>
      <c r="AC17" s="32">
        <f t="shared" si="1"/>
        <v>4.1774611828479248E-4</v>
      </c>
      <c r="AD17" s="32">
        <f t="shared" si="1"/>
        <v>2.564951707807432E-4</v>
      </c>
      <c r="AE17" s="32">
        <f t="shared" si="1"/>
        <v>5.1183288980724757E-4</v>
      </c>
      <c r="AF17" s="32">
        <f t="shared" si="1"/>
        <v>6.7419699766592997E-4</v>
      </c>
      <c r="AG17" s="32">
        <f t="shared" si="1"/>
        <v>8.3640632064937992E-4</v>
      </c>
      <c r="AH17" s="32">
        <f t="shared" si="1"/>
        <v>1.5267460461518365E-3</v>
      </c>
      <c r="AI17" s="32">
        <f t="shared" si="1"/>
        <v>3.7181135613785499E-3</v>
      </c>
      <c r="AJ17" s="32">
        <f t="shared" si="1"/>
        <v>9.7484490704951281E-3</v>
      </c>
      <c r="AK17" s="33">
        <f t="shared" si="2"/>
        <v>9.521257762935035E-4</v>
      </c>
    </row>
    <row r="18" spans="1:37" x14ac:dyDescent="0.3">
      <c r="A18" t="s">
        <v>40</v>
      </c>
      <c r="B18" s="1">
        <v>2015</v>
      </c>
      <c r="C18" s="1" t="str">
        <f t="shared" si="0"/>
        <v>Alaska, 2015</v>
      </c>
      <c r="D18" s="27">
        <v>98</v>
      </c>
      <c r="E18" s="27">
        <v>54</v>
      </c>
      <c r="F18" s="27">
        <v>57</v>
      </c>
      <c r="G18" s="27">
        <v>59</v>
      </c>
      <c r="H18" s="27">
        <v>64</v>
      </c>
      <c r="I18" s="27">
        <v>44</v>
      </c>
      <c r="J18" s="27">
        <v>41</v>
      </c>
      <c r="K18" s="27">
        <v>62</v>
      </c>
      <c r="L18" s="27">
        <v>67</v>
      </c>
      <c r="M18" s="27">
        <v>61</v>
      </c>
      <c r="N18" s="27">
        <v>46</v>
      </c>
      <c r="O18" s="28">
        <v>653</v>
      </c>
      <c r="P18" s="29">
        <v>49385.748</v>
      </c>
      <c r="Q18" s="30">
        <v>92736.899000000005</v>
      </c>
      <c r="R18" s="30">
        <v>102486.10500000001</v>
      </c>
      <c r="S18" s="30">
        <v>105038.38499999999</v>
      </c>
      <c r="T18" s="30">
        <v>84566.395000000004</v>
      </c>
      <c r="U18" s="30">
        <v>93249.82</v>
      </c>
      <c r="V18" s="30">
        <v>85881.070999999982</v>
      </c>
      <c r="W18" s="30">
        <v>42289.116999999998</v>
      </c>
      <c r="X18" s="30">
        <v>17208.771000000001</v>
      </c>
      <c r="Y18" s="30">
        <v>6207.2300000000005</v>
      </c>
      <c r="Z18" s="31">
        <v>679049</v>
      </c>
      <c r="AA18" s="32">
        <f t="shared" si="1"/>
        <v>1.9843781651337953E-3</v>
      </c>
      <c r="AB18" s="32">
        <f t="shared" si="1"/>
        <v>5.8229249179444738E-4</v>
      </c>
      <c r="AC18" s="32">
        <f t="shared" si="1"/>
        <v>5.5617295632417682E-4</v>
      </c>
      <c r="AD18" s="32">
        <f t="shared" si="1"/>
        <v>5.61699420645129E-4</v>
      </c>
      <c r="AE18" s="32">
        <f t="shared" si="1"/>
        <v>7.5680180052608366E-4</v>
      </c>
      <c r="AF18" s="32">
        <f t="shared" si="1"/>
        <v>4.7185077676289343E-4</v>
      </c>
      <c r="AG18" s="32">
        <f t="shared" si="1"/>
        <v>4.7740438635191228E-4</v>
      </c>
      <c r="AH18" s="32">
        <f t="shared" si="1"/>
        <v>1.4660982398852168E-3</v>
      </c>
      <c r="AI18" s="32">
        <f t="shared" si="1"/>
        <v>3.8933634482090558E-3</v>
      </c>
      <c r="AJ18" s="32">
        <f t="shared" si="1"/>
        <v>9.8272498360782497E-3</v>
      </c>
      <c r="AK18" s="33">
        <f t="shared" si="2"/>
        <v>9.6163899806935872E-4</v>
      </c>
    </row>
    <row r="19" spans="1:37" x14ac:dyDescent="0.3">
      <c r="A19" t="s">
        <v>40</v>
      </c>
      <c r="B19" s="1">
        <v>2016</v>
      </c>
      <c r="C19" s="1" t="str">
        <f t="shared" si="0"/>
        <v>Alaska, 2016</v>
      </c>
      <c r="D19" s="27">
        <v>125</v>
      </c>
      <c r="E19" s="27">
        <v>44</v>
      </c>
      <c r="F19" s="27">
        <v>42</v>
      </c>
      <c r="G19" s="27">
        <v>58</v>
      </c>
      <c r="H19" s="27">
        <v>61</v>
      </c>
      <c r="I19" s="27">
        <v>49</v>
      </c>
      <c r="J19" s="27">
        <v>62</v>
      </c>
      <c r="K19" s="27">
        <v>46</v>
      </c>
      <c r="L19" s="27">
        <v>46</v>
      </c>
      <c r="M19" s="27">
        <v>57</v>
      </c>
      <c r="N19" s="27">
        <v>34</v>
      </c>
      <c r="O19" s="28">
        <v>624</v>
      </c>
      <c r="P19" s="29">
        <v>50552.801999999989</v>
      </c>
      <c r="Q19" s="30">
        <v>96056.911999999982</v>
      </c>
      <c r="R19" s="30">
        <v>101966.205</v>
      </c>
      <c r="S19" s="30">
        <v>108448.158</v>
      </c>
      <c r="T19" s="30">
        <v>87242.518000000011</v>
      </c>
      <c r="U19" s="30">
        <v>94010.321999999986</v>
      </c>
      <c r="V19" s="30">
        <v>90611.084999999992</v>
      </c>
      <c r="W19" s="30">
        <v>46493.371000000006</v>
      </c>
      <c r="X19" s="30">
        <v>17362.636000000002</v>
      </c>
      <c r="Y19" s="30">
        <v>6584.226999999998</v>
      </c>
      <c r="Z19" s="31">
        <v>699828</v>
      </c>
      <c r="AA19" s="32">
        <f t="shared" si="1"/>
        <v>2.4726621483810141E-3</v>
      </c>
      <c r="AB19" s="32">
        <f t="shared" si="1"/>
        <v>4.5806177904199135E-4</v>
      </c>
      <c r="AC19" s="32">
        <f t="shared" si="1"/>
        <v>4.1190117843456075E-4</v>
      </c>
      <c r="AD19" s="32">
        <f t="shared" si="1"/>
        <v>5.3481775135360069E-4</v>
      </c>
      <c r="AE19" s="32">
        <f t="shared" si="1"/>
        <v>6.9920036008130795E-4</v>
      </c>
      <c r="AF19" s="32">
        <f t="shared" si="1"/>
        <v>5.2121936142288724E-4</v>
      </c>
      <c r="AG19" s="32">
        <f t="shared" si="1"/>
        <v>6.8424299300687112E-4</v>
      </c>
      <c r="AH19" s="32">
        <f t="shared" si="1"/>
        <v>9.8938835818121245E-4</v>
      </c>
      <c r="AI19" s="32">
        <f t="shared" si="1"/>
        <v>2.6493672965326228E-3</v>
      </c>
      <c r="AJ19" s="32">
        <f t="shared" si="1"/>
        <v>8.6570526805956147E-3</v>
      </c>
      <c r="AK19" s="33">
        <f t="shared" si="2"/>
        <v>8.9164766199694779E-4</v>
      </c>
    </row>
    <row r="20" spans="1:37" x14ac:dyDescent="0.3">
      <c r="A20" t="s">
        <v>40</v>
      </c>
      <c r="B20" s="1">
        <v>2017</v>
      </c>
      <c r="C20" s="1" t="str">
        <f>A20&amp;", "&amp;B20</f>
        <v>Alaska, 2017</v>
      </c>
      <c r="D20" s="27">
        <v>88</v>
      </c>
      <c r="E20" s="27">
        <v>57</v>
      </c>
      <c r="F20" s="27">
        <v>37</v>
      </c>
      <c r="G20" s="27">
        <v>49</v>
      </c>
      <c r="H20" s="27">
        <v>57</v>
      </c>
      <c r="I20" s="27">
        <v>60</v>
      </c>
      <c r="J20" s="27">
        <v>80</v>
      </c>
      <c r="K20" s="27">
        <v>62</v>
      </c>
      <c r="L20" s="27">
        <v>44</v>
      </c>
      <c r="M20" s="27">
        <v>36</v>
      </c>
      <c r="N20" s="27">
        <v>57</v>
      </c>
      <c r="O20" s="28">
        <v>627</v>
      </c>
      <c r="P20" s="29">
        <v>51036</v>
      </c>
      <c r="Q20" s="30">
        <v>95397</v>
      </c>
      <c r="R20" s="30">
        <v>101142</v>
      </c>
      <c r="S20" s="30">
        <v>110761</v>
      </c>
      <c r="T20" s="30">
        <v>87355</v>
      </c>
      <c r="U20" s="30">
        <v>89841</v>
      </c>
      <c r="V20" s="30">
        <v>88196</v>
      </c>
      <c r="W20" s="30">
        <v>48533</v>
      </c>
      <c r="X20" s="30">
        <v>17664</v>
      </c>
      <c r="Y20" s="30">
        <v>6178</v>
      </c>
      <c r="Z20" s="31">
        <v>696103</v>
      </c>
      <c r="AA20" s="32">
        <f t="shared" si="1"/>
        <v>1.7242730621522062E-3</v>
      </c>
      <c r="AB20" s="32">
        <f t="shared" si="1"/>
        <v>5.9750306613415521E-4</v>
      </c>
      <c r="AC20" s="32">
        <f t="shared" si="1"/>
        <v>3.6582230922860927E-4</v>
      </c>
      <c r="AD20" s="32">
        <f t="shared" si="1"/>
        <v>4.4239398344182517E-4</v>
      </c>
      <c r="AE20" s="32">
        <f t="shared" si="1"/>
        <v>6.5250987350466488E-4</v>
      </c>
      <c r="AF20" s="32">
        <f t="shared" si="1"/>
        <v>6.6784652886766618E-4</v>
      </c>
      <c r="AG20" s="32">
        <f t="shared" si="1"/>
        <v>9.070706154474126E-4</v>
      </c>
      <c r="AH20" s="32">
        <f t="shared" si="1"/>
        <v>1.2774813013825645E-3</v>
      </c>
      <c r="AI20" s="32">
        <f t="shared" si="1"/>
        <v>2.490942028985507E-3</v>
      </c>
      <c r="AJ20" s="32">
        <f t="shared" si="1"/>
        <v>5.8271285205568147E-3</v>
      </c>
      <c r="AK20" s="33">
        <f t="shared" si="2"/>
        <v>9.0072877146054535E-4</v>
      </c>
    </row>
    <row r="21" spans="1:37" x14ac:dyDescent="0.3">
      <c r="A21" t="s">
        <v>41</v>
      </c>
      <c r="B21" s="1">
        <v>2009</v>
      </c>
      <c r="C21" s="1" t="str">
        <f t="shared" si="0"/>
        <v>Arizona, 2009</v>
      </c>
      <c r="D21" s="27">
        <v>124</v>
      </c>
      <c r="E21" s="27">
        <v>69</v>
      </c>
      <c r="F21" s="27">
        <v>59</v>
      </c>
      <c r="G21" s="27">
        <v>50</v>
      </c>
      <c r="H21" s="27">
        <v>74</v>
      </c>
      <c r="I21" s="27">
        <v>74</v>
      </c>
      <c r="J21" s="27">
        <v>65</v>
      </c>
      <c r="K21" s="27">
        <v>164</v>
      </c>
      <c r="L21" s="27">
        <v>278</v>
      </c>
      <c r="M21" s="27">
        <v>350</v>
      </c>
      <c r="N21" s="27">
        <v>49</v>
      </c>
      <c r="O21" s="28">
        <v>1356</v>
      </c>
      <c r="P21" s="29">
        <v>500512.114</v>
      </c>
      <c r="Q21" s="30">
        <v>900235.31799999997</v>
      </c>
      <c r="R21" s="30">
        <v>858304.76299999992</v>
      </c>
      <c r="S21" s="30">
        <v>919459.3870000001</v>
      </c>
      <c r="T21" s="30">
        <v>858826.80199999979</v>
      </c>
      <c r="U21" s="30">
        <v>819785.54599999997</v>
      </c>
      <c r="V21" s="30">
        <v>651778.59500000009</v>
      </c>
      <c r="W21" s="30">
        <v>422658.01999999996</v>
      </c>
      <c r="X21" s="30">
        <v>294833.44300000003</v>
      </c>
      <c r="Y21" s="30">
        <v>96568.51999999999</v>
      </c>
      <c r="Z21" s="31">
        <v>6324865</v>
      </c>
      <c r="AA21" s="32">
        <f t="shared" si="1"/>
        <v>2.4774625135246979E-4</v>
      </c>
      <c r="AB21" s="32">
        <f t="shared" si="1"/>
        <v>7.6646626299102828E-5</v>
      </c>
      <c r="AC21" s="32">
        <f t="shared" si="1"/>
        <v>6.8740152150361547E-5</v>
      </c>
      <c r="AD21" s="32">
        <f t="shared" si="1"/>
        <v>5.4379780887483611E-5</v>
      </c>
      <c r="AE21" s="32">
        <f t="shared" si="1"/>
        <v>8.6164055229380257E-5</v>
      </c>
      <c r="AF21" s="32">
        <f t="shared" si="1"/>
        <v>9.026751003487441E-5</v>
      </c>
      <c r="AG21" s="32">
        <f t="shared" si="1"/>
        <v>9.9727116690599501E-5</v>
      </c>
      <c r="AH21" s="32">
        <f t="shared" si="1"/>
        <v>3.8802055619339726E-4</v>
      </c>
      <c r="AI21" s="32">
        <f t="shared" si="1"/>
        <v>9.4290524565763037E-4</v>
      </c>
      <c r="AJ21" s="32">
        <f t="shared" si="1"/>
        <v>3.6243695150345065E-3</v>
      </c>
      <c r="AK21" s="33">
        <f t="shared" si="2"/>
        <v>2.1439192773284489E-4</v>
      </c>
    </row>
    <row r="22" spans="1:37" x14ac:dyDescent="0.3">
      <c r="A22" t="s">
        <v>41</v>
      </c>
      <c r="B22" s="1">
        <v>2010</v>
      </c>
      <c r="C22" s="1" t="str">
        <f t="shared" si="0"/>
        <v>Arizona, 2010</v>
      </c>
      <c r="D22" s="27">
        <v>102</v>
      </c>
      <c r="E22" s="27">
        <v>55</v>
      </c>
      <c r="F22" s="27">
        <v>53</v>
      </c>
      <c r="G22" s="27">
        <v>58</v>
      </c>
      <c r="H22" s="27">
        <v>49</v>
      </c>
      <c r="I22" s="27">
        <v>41</v>
      </c>
      <c r="J22" s="27">
        <v>59</v>
      </c>
      <c r="K22" s="27">
        <v>100</v>
      </c>
      <c r="L22" s="27">
        <v>215</v>
      </c>
      <c r="M22" s="27">
        <v>295</v>
      </c>
      <c r="N22" s="27">
        <v>50</v>
      </c>
      <c r="O22" s="28">
        <v>1077</v>
      </c>
      <c r="P22" s="29">
        <v>462742.36300000001</v>
      </c>
      <c r="Q22" s="30">
        <v>880273.43400000012</v>
      </c>
      <c r="R22" s="30">
        <v>884910.36699999997</v>
      </c>
      <c r="S22" s="30">
        <v>852338.06700000004</v>
      </c>
      <c r="T22" s="30">
        <v>829309.64800000016</v>
      </c>
      <c r="U22" s="30">
        <v>817917.75300000003</v>
      </c>
      <c r="V22" s="30">
        <v>682669.73200000008</v>
      </c>
      <c r="W22" s="30">
        <v>457849.05800000002</v>
      </c>
      <c r="X22" s="30">
        <v>276152.647</v>
      </c>
      <c r="Y22" s="30">
        <v>94325.754000000001</v>
      </c>
      <c r="Z22" s="31">
        <v>6246322</v>
      </c>
      <c r="AA22" s="32">
        <f t="shared" si="1"/>
        <v>2.2042503162823671E-4</v>
      </c>
      <c r="AB22" s="32">
        <f t="shared" si="1"/>
        <v>6.2480586003916587E-5</v>
      </c>
      <c r="AC22" s="32">
        <f t="shared" si="1"/>
        <v>5.9893071633547717E-5</v>
      </c>
      <c r="AD22" s="32">
        <f t="shared" si="1"/>
        <v>6.8048116405435634E-5</v>
      </c>
      <c r="AE22" s="32">
        <f t="shared" si="1"/>
        <v>5.9085288731622223E-5</v>
      </c>
      <c r="AF22" s="32">
        <f t="shared" si="1"/>
        <v>5.0127289510000401E-5</v>
      </c>
      <c r="AG22" s="32">
        <f t="shared" si="1"/>
        <v>8.6425393179728657E-5</v>
      </c>
      <c r="AH22" s="32">
        <f t="shared" si="1"/>
        <v>2.1841259308651891E-4</v>
      </c>
      <c r="AI22" s="32">
        <f t="shared" si="1"/>
        <v>7.7855491278343606E-4</v>
      </c>
      <c r="AJ22" s="32">
        <f t="shared" si="1"/>
        <v>3.1274597603534659E-3</v>
      </c>
      <c r="AK22" s="33">
        <f t="shared" si="2"/>
        <v>1.7242146658465573E-4</v>
      </c>
    </row>
    <row r="23" spans="1:37" x14ac:dyDescent="0.3">
      <c r="A23" t="s">
        <v>41</v>
      </c>
      <c r="B23" s="1">
        <v>2011</v>
      </c>
      <c r="C23" s="1" t="str">
        <f t="shared" si="0"/>
        <v>Arizona, 2011</v>
      </c>
      <c r="D23" s="27">
        <v>90</v>
      </c>
      <c r="E23" s="27">
        <v>51</v>
      </c>
      <c r="F23" s="27">
        <v>64</v>
      </c>
      <c r="G23" s="27">
        <v>38</v>
      </c>
      <c r="H23" s="27">
        <v>46</v>
      </c>
      <c r="I23" s="27">
        <v>50</v>
      </c>
      <c r="J23" s="27">
        <v>70</v>
      </c>
      <c r="K23" s="27">
        <v>93</v>
      </c>
      <c r="L23" s="27">
        <v>198</v>
      </c>
      <c r="M23" s="27">
        <v>269</v>
      </c>
      <c r="N23" s="27">
        <v>35</v>
      </c>
      <c r="O23" s="28">
        <v>1004</v>
      </c>
      <c r="P23" s="29">
        <v>453249.54200000007</v>
      </c>
      <c r="Q23" s="30">
        <v>871546.9</v>
      </c>
      <c r="R23" s="30">
        <v>885674.98100000015</v>
      </c>
      <c r="S23" s="30">
        <v>851982.08799999999</v>
      </c>
      <c r="T23" s="30">
        <v>819606.82900000014</v>
      </c>
      <c r="U23" s="30">
        <v>819394.05200000014</v>
      </c>
      <c r="V23" s="30">
        <v>697531.81400000001</v>
      </c>
      <c r="W23" s="30">
        <v>476319.48500000004</v>
      </c>
      <c r="X23" s="30">
        <v>280686.52499999991</v>
      </c>
      <c r="Y23" s="30">
        <v>96883.926000000007</v>
      </c>
      <c r="Z23" s="31">
        <v>6257319</v>
      </c>
      <c r="AA23" s="32">
        <f t="shared" si="1"/>
        <v>1.9856611349868718E-4</v>
      </c>
      <c r="AB23" s="32">
        <f t="shared" si="1"/>
        <v>5.8516644371060233E-5</v>
      </c>
      <c r="AC23" s="32">
        <f t="shared" si="1"/>
        <v>7.226127120327901E-5</v>
      </c>
      <c r="AD23" s="32">
        <f t="shared" si="1"/>
        <v>4.4601876653538284E-5</v>
      </c>
      <c r="AE23" s="32">
        <f t="shared" si="1"/>
        <v>5.6124471359181402E-5</v>
      </c>
      <c r="AF23" s="32">
        <f t="shared" si="1"/>
        <v>6.1020701673338473E-5</v>
      </c>
      <c r="AG23" s="32">
        <f t="shared" si="1"/>
        <v>1.0035384565269448E-4</v>
      </c>
      <c r="AH23" s="32">
        <f t="shared" si="1"/>
        <v>1.9524710394746919E-4</v>
      </c>
      <c r="AI23" s="32">
        <f t="shared" si="1"/>
        <v>7.054132719766297E-4</v>
      </c>
      <c r="AJ23" s="32">
        <f t="shared" si="1"/>
        <v>2.7765183669373594E-3</v>
      </c>
      <c r="AK23" s="33">
        <f t="shared" si="2"/>
        <v>1.6045210416793518E-4</v>
      </c>
    </row>
    <row r="24" spans="1:37" x14ac:dyDescent="0.3">
      <c r="A24" t="s">
        <v>41</v>
      </c>
      <c r="B24" s="1">
        <v>2012</v>
      </c>
      <c r="C24" s="1" t="str">
        <f t="shared" si="0"/>
        <v>Arizona, 2012</v>
      </c>
      <c r="D24" s="27">
        <v>100</v>
      </c>
      <c r="E24" s="27">
        <v>57</v>
      </c>
      <c r="F24" s="27">
        <v>64</v>
      </c>
      <c r="G24" s="27">
        <v>43</v>
      </c>
      <c r="H24" s="27">
        <v>43</v>
      </c>
      <c r="I24" s="27">
        <v>58</v>
      </c>
      <c r="J24" s="27">
        <v>53</v>
      </c>
      <c r="K24" s="27">
        <v>72</v>
      </c>
      <c r="L24" s="27">
        <v>208</v>
      </c>
      <c r="M24" s="27">
        <v>273</v>
      </c>
      <c r="N24" s="27">
        <v>49</v>
      </c>
      <c r="O24" s="28">
        <v>1020</v>
      </c>
      <c r="P24" s="29">
        <v>456497.13400000008</v>
      </c>
      <c r="Q24" s="30">
        <v>901047.37600000016</v>
      </c>
      <c r="R24" s="30">
        <v>907395.701</v>
      </c>
      <c r="S24" s="30">
        <v>868039.73600000015</v>
      </c>
      <c r="T24" s="30">
        <v>827988.63199999987</v>
      </c>
      <c r="U24" s="30">
        <v>833429.29299999995</v>
      </c>
      <c r="V24" s="30">
        <v>723644.9389999999</v>
      </c>
      <c r="W24" s="30">
        <v>497302.755</v>
      </c>
      <c r="X24" s="30">
        <v>281921.25099999999</v>
      </c>
      <c r="Y24" s="30">
        <v>103205.25</v>
      </c>
      <c r="Z24" s="31">
        <v>6409393</v>
      </c>
      <c r="AA24" s="32">
        <f t="shared" si="1"/>
        <v>2.1905942568305366E-4</v>
      </c>
      <c r="AB24" s="32">
        <f t="shared" si="1"/>
        <v>6.3259714769981184E-5</v>
      </c>
      <c r="AC24" s="32">
        <f t="shared" si="1"/>
        <v>7.0531522167747185E-5</v>
      </c>
      <c r="AD24" s="32">
        <f t="shared" si="1"/>
        <v>4.9536902766856741E-5</v>
      </c>
      <c r="AE24" s="32">
        <f t="shared" si="1"/>
        <v>5.193308016335182E-5</v>
      </c>
      <c r="AF24" s="32">
        <f t="shared" si="1"/>
        <v>6.9591986371422154E-5</v>
      </c>
      <c r="AG24" s="32">
        <f t="shared" si="1"/>
        <v>7.3240338104541079E-5</v>
      </c>
      <c r="AH24" s="32">
        <f t="shared" si="1"/>
        <v>1.4478101976330294E-4</v>
      </c>
      <c r="AI24" s="32">
        <f t="shared" si="1"/>
        <v>7.3779468295563145E-4</v>
      </c>
      <c r="AJ24" s="32">
        <f t="shared" si="1"/>
        <v>2.6452142696229116E-3</v>
      </c>
      <c r="AK24" s="33">
        <f t="shared" si="2"/>
        <v>1.5914143507817356E-4</v>
      </c>
    </row>
    <row r="25" spans="1:37" x14ac:dyDescent="0.3">
      <c r="A25" t="s">
        <v>41</v>
      </c>
      <c r="B25" s="1">
        <v>2013</v>
      </c>
      <c r="C25" s="1" t="str">
        <f t="shared" si="0"/>
        <v>Arizona, 2013</v>
      </c>
      <c r="D25" s="27">
        <v>106</v>
      </c>
      <c r="E25" s="27">
        <v>47</v>
      </c>
      <c r="F25" s="27">
        <v>48</v>
      </c>
      <c r="G25" s="27">
        <v>36</v>
      </c>
      <c r="H25" s="27">
        <v>57</v>
      </c>
      <c r="I25" s="27">
        <v>52</v>
      </c>
      <c r="J25" s="27">
        <v>67</v>
      </c>
      <c r="K25" s="27">
        <v>82</v>
      </c>
      <c r="L25" s="27">
        <v>195</v>
      </c>
      <c r="M25" s="27">
        <v>348</v>
      </c>
      <c r="N25" s="27">
        <v>60</v>
      </c>
      <c r="O25" s="28">
        <v>1098</v>
      </c>
      <c r="P25" s="29">
        <v>446550.23800000001</v>
      </c>
      <c r="Q25" s="30">
        <v>902457.93699999992</v>
      </c>
      <c r="R25" s="30">
        <v>914968.04200000002</v>
      </c>
      <c r="S25" s="30">
        <v>865278.91099999996</v>
      </c>
      <c r="T25" s="30">
        <v>829213.10300000012</v>
      </c>
      <c r="U25" s="30">
        <v>838223.62</v>
      </c>
      <c r="V25" s="30">
        <v>746656.87099999993</v>
      </c>
      <c r="W25" s="30">
        <v>527624.64800000004</v>
      </c>
      <c r="X25" s="30">
        <v>291119.52099999995</v>
      </c>
      <c r="Y25" s="30">
        <v>107268.383</v>
      </c>
      <c r="Z25" s="31">
        <v>6470959</v>
      </c>
      <c r="AA25" s="32">
        <f t="shared" si="1"/>
        <v>2.3737530736687233E-4</v>
      </c>
      <c r="AB25" s="32">
        <f t="shared" si="1"/>
        <v>5.2079989629477881E-5</v>
      </c>
      <c r="AC25" s="32">
        <f t="shared" si="1"/>
        <v>5.2460848681751004E-5</v>
      </c>
      <c r="AD25" s="32">
        <f t="shared" si="1"/>
        <v>4.1605081947963944E-5</v>
      </c>
      <c r="AE25" s="32">
        <f t="shared" si="1"/>
        <v>6.8739868911598699E-5</v>
      </c>
      <c r="AF25" s="32">
        <f t="shared" si="1"/>
        <v>6.2035951695085855E-5</v>
      </c>
      <c r="AG25" s="32">
        <f t="shared" si="1"/>
        <v>8.9733320086195264E-5</v>
      </c>
      <c r="AH25" s="32">
        <f t="shared" si="1"/>
        <v>1.5541351282739922E-4</v>
      </c>
      <c r="AI25" s="32">
        <f t="shared" si="1"/>
        <v>6.6982797762984785E-4</v>
      </c>
      <c r="AJ25" s="32">
        <f t="shared" si="1"/>
        <v>3.2441991784289319E-3</v>
      </c>
      <c r="AK25" s="33">
        <f t="shared" si="2"/>
        <v>1.6968118635893073E-4</v>
      </c>
    </row>
    <row r="26" spans="1:37" x14ac:dyDescent="0.3">
      <c r="A26" t="s">
        <v>41</v>
      </c>
      <c r="B26" s="1">
        <v>2014</v>
      </c>
      <c r="C26" s="1" t="str">
        <f t="shared" si="0"/>
        <v>Arizona, 2014</v>
      </c>
      <c r="D26" s="27">
        <v>109</v>
      </c>
      <c r="E26" s="27">
        <v>64</v>
      </c>
      <c r="F26" s="27">
        <v>59</v>
      </c>
      <c r="G26" s="27">
        <v>62</v>
      </c>
      <c r="H26" s="27">
        <v>76</v>
      </c>
      <c r="I26" s="27">
        <v>78</v>
      </c>
      <c r="J26" s="27">
        <v>82</v>
      </c>
      <c r="K26" s="27">
        <v>140</v>
      </c>
      <c r="L26" s="27">
        <v>180</v>
      </c>
      <c r="M26" s="27">
        <v>270</v>
      </c>
      <c r="N26" s="27">
        <v>83</v>
      </c>
      <c r="O26" s="28">
        <v>1203</v>
      </c>
      <c r="P26" s="29">
        <v>438169.82399999996</v>
      </c>
      <c r="Q26" s="30">
        <v>903584.12000000023</v>
      </c>
      <c r="R26" s="30">
        <v>919352.04899999988</v>
      </c>
      <c r="S26" s="30">
        <v>870383.9169999999</v>
      </c>
      <c r="T26" s="30">
        <v>823163.54600000009</v>
      </c>
      <c r="U26" s="30">
        <v>837073.95</v>
      </c>
      <c r="V26" s="30">
        <v>760570.81699999992</v>
      </c>
      <c r="W26" s="30">
        <v>554889.05499999993</v>
      </c>
      <c r="X26" s="30">
        <v>299077.73800000001</v>
      </c>
      <c r="Y26" s="30">
        <v>112957.467</v>
      </c>
      <c r="Z26" s="31">
        <v>6523128</v>
      </c>
      <c r="AA26" s="32">
        <f t="shared" si="1"/>
        <v>2.4876199598811263E-4</v>
      </c>
      <c r="AB26" s="32">
        <f t="shared" si="1"/>
        <v>7.0829044671568577E-5</v>
      </c>
      <c r="AC26" s="32">
        <f t="shared" si="1"/>
        <v>6.4175633332384083E-5</v>
      </c>
      <c r="AD26" s="32">
        <f t="shared" si="1"/>
        <v>7.1232933868652817E-5</v>
      </c>
      <c r="AE26" s="32">
        <f t="shared" si="1"/>
        <v>9.2326731874008415E-5</v>
      </c>
      <c r="AF26" s="32">
        <f t="shared" si="1"/>
        <v>9.3181731434839184E-5</v>
      </c>
      <c r="AG26" s="32">
        <f t="shared" si="1"/>
        <v>1.0781376062184622E-4</v>
      </c>
      <c r="AH26" s="32">
        <f t="shared" si="1"/>
        <v>2.5230268778684059E-4</v>
      </c>
      <c r="AI26" s="32">
        <f t="shared" si="1"/>
        <v>6.0185021193386176E-4</v>
      </c>
      <c r="AJ26" s="32">
        <f t="shared" si="1"/>
        <v>2.3902802282207689E-3</v>
      </c>
      <c r="AK26" s="33">
        <f t="shared" si="2"/>
        <v>1.8442072576224167E-4</v>
      </c>
    </row>
    <row r="27" spans="1:37" x14ac:dyDescent="0.3">
      <c r="A27" t="s">
        <v>41</v>
      </c>
      <c r="B27" s="1">
        <v>2015</v>
      </c>
      <c r="C27" s="1" t="str">
        <f t="shared" si="0"/>
        <v>Arizona, 2015</v>
      </c>
      <c r="D27" s="27">
        <v>96</v>
      </c>
      <c r="E27" s="27">
        <v>63</v>
      </c>
      <c r="F27" s="27">
        <v>49</v>
      </c>
      <c r="G27" s="27">
        <v>70</v>
      </c>
      <c r="H27" s="27">
        <v>68</v>
      </c>
      <c r="I27" s="27">
        <v>54</v>
      </c>
      <c r="J27" s="27">
        <v>87</v>
      </c>
      <c r="K27" s="27">
        <v>127</v>
      </c>
      <c r="L27" s="27">
        <v>210</v>
      </c>
      <c r="M27" s="27">
        <v>321</v>
      </c>
      <c r="N27" s="27">
        <v>57</v>
      </c>
      <c r="O27" s="28">
        <v>1202</v>
      </c>
      <c r="P27" s="29">
        <v>424856.47899999999</v>
      </c>
      <c r="Q27" s="30">
        <v>892843.10600000003</v>
      </c>
      <c r="R27" s="30">
        <v>916341.00699999998</v>
      </c>
      <c r="S27" s="30">
        <v>873997.61799999978</v>
      </c>
      <c r="T27" s="30">
        <v>823284.95900000003</v>
      </c>
      <c r="U27" s="30">
        <v>824481.64100000006</v>
      </c>
      <c r="V27" s="30">
        <v>767758.80299999996</v>
      </c>
      <c r="W27" s="30">
        <v>581227.27800000005</v>
      </c>
      <c r="X27" s="30">
        <v>309296.212</v>
      </c>
      <c r="Y27" s="30">
        <v>119063.27099999999</v>
      </c>
      <c r="Z27" s="31">
        <v>6522731</v>
      </c>
      <c r="AA27" s="32">
        <f t="shared" si="1"/>
        <v>2.2595865838261113E-4</v>
      </c>
      <c r="AB27" s="32">
        <f t="shared" si="1"/>
        <v>7.0561109310956585E-5</v>
      </c>
      <c r="AC27" s="32">
        <f t="shared" si="1"/>
        <v>5.3473542737567346E-5</v>
      </c>
      <c r="AD27" s="32">
        <f t="shared" si="1"/>
        <v>8.0091751462874148E-5</v>
      </c>
      <c r="AE27" s="32">
        <f t="shared" si="1"/>
        <v>8.259594598035162E-5</v>
      </c>
      <c r="AF27" s="32">
        <f t="shared" si="1"/>
        <v>6.5495697314138244E-5</v>
      </c>
      <c r="AG27" s="32">
        <f t="shared" si="1"/>
        <v>1.1331683812683032E-4</v>
      </c>
      <c r="AH27" s="32">
        <f t="shared" si="1"/>
        <v>2.1850316529706989E-4</v>
      </c>
      <c r="AI27" s="32">
        <f t="shared" si="1"/>
        <v>6.789607885660106E-4</v>
      </c>
      <c r="AJ27" s="32">
        <f t="shared" si="1"/>
        <v>2.6960455336390013E-3</v>
      </c>
      <c r="AK27" s="33">
        <f t="shared" si="2"/>
        <v>1.8427864034251909E-4</v>
      </c>
    </row>
    <row r="28" spans="1:37" x14ac:dyDescent="0.3">
      <c r="A28" t="s">
        <v>41</v>
      </c>
      <c r="B28" s="1">
        <v>2016</v>
      </c>
      <c r="C28" s="1" t="str">
        <f t="shared" si="0"/>
        <v>Arizona, 2016</v>
      </c>
      <c r="D28" s="27">
        <v>111</v>
      </c>
      <c r="E28" s="27">
        <v>53</v>
      </c>
      <c r="F28" s="27">
        <v>47</v>
      </c>
      <c r="G28" s="27">
        <v>53</v>
      </c>
      <c r="H28" s="27">
        <v>54</v>
      </c>
      <c r="I28" s="27">
        <v>65</v>
      </c>
      <c r="J28" s="27">
        <v>114</v>
      </c>
      <c r="K28" s="27">
        <v>147</v>
      </c>
      <c r="L28" s="27">
        <v>213</v>
      </c>
      <c r="M28" s="27">
        <v>299</v>
      </c>
      <c r="N28" s="27">
        <v>70</v>
      </c>
      <c r="O28" s="28">
        <v>1226</v>
      </c>
      <c r="P28" s="29">
        <v>427120.03400000004</v>
      </c>
      <c r="Q28" s="30">
        <v>890321.97599999991</v>
      </c>
      <c r="R28" s="30">
        <v>920124.60399999993</v>
      </c>
      <c r="S28" s="30">
        <v>879311.55999999994</v>
      </c>
      <c r="T28" s="30">
        <v>813442.70499999996</v>
      </c>
      <c r="U28" s="30">
        <v>817605.8600000001</v>
      </c>
      <c r="V28" s="30">
        <v>756395.48199999984</v>
      </c>
      <c r="W28" s="30">
        <v>584304.53399999999</v>
      </c>
      <c r="X28" s="30">
        <v>306398.891</v>
      </c>
      <c r="Y28" s="30">
        <v>115515.61300000001</v>
      </c>
      <c r="Z28" s="31">
        <v>6508490</v>
      </c>
      <c r="AA28" s="32">
        <f t="shared" si="1"/>
        <v>2.5988010667745917E-4</v>
      </c>
      <c r="AB28" s="32">
        <f t="shared" si="1"/>
        <v>5.9529025935219649E-5</v>
      </c>
      <c r="AC28" s="32">
        <f t="shared" si="1"/>
        <v>5.1080038285771132E-5</v>
      </c>
      <c r="AD28" s="32">
        <f t="shared" si="1"/>
        <v>6.0274426507027842E-5</v>
      </c>
      <c r="AE28" s="32">
        <f t="shared" si="1"/>
        <v>6.638451567403263E-5</v>
      </c>
      <c r="AF28" s="32">
        <f t="shared" si="1"/>
        <v>7.9500408668793041E-5</v>
      </c>
      <c r="AG28" s="32">
        <f t="shared" si="1"/>
        <v>1.5071480820928545E-4</v>
      </c>
      <c r="AH28" s="32">
        <f t="shared" si="1"/>
        <v>2.5158113868067297E-4</v>
      </c>
      <c r="AI28" s="32">
        <f t="shared" si="1"/>
        <v>6.9517222893603753E-4</v>
      </c>
      <c r="AJ28" s="32">
        <f t="shared" si="1"/>
        <v>2.5883946960485764E-3</v>
      </c>
      <c r="AK28" s="33">
        <f t="shared" si="2"/>
        <v>1.8836934527056198E-4</v>
      </c>
    </row>
    <row r="29" spans="1:37" x14ac:dyDescent="0.3">
      <c r="A29" t="s">
        <v>41</v>
      </c>
      <c r="B29" s="1">
        <v>2017</v>
      </c>
      <c r="C29" s="1" t="str">
        <f t="shared" si="0"/>
        <v>Arizona, 2017</v>
      </c>
      <c r="D29" s="27">
        <v>85</v>
      </c>
      <c r="E29" s="27">
        <v>64</v>
      </c>
      <c r="F29" s="27">
        <v>53</v>
      </c>
      <c r="G29" s="27">
        <v>46</v>
      </c>
      <c r="H29" s="27">
        <v>51</v>
      </c>
      <c r="I29" s="27">
        <v>39</v>
      </c>
      <c r="J29" s="27">
        <v>77</v>
      </c>
      <c r="K29" s="27">
        <v>142</v>
      </c>
      <c r="L29" s="27">
        <v>212</v>
      </c>
      <c r="M29" s="27">
        <v>339</v>
      </c>
      <c r="N29" s="27">
        <v>60</v>
      </c>
      <c r="O29" s="28">
        <v>1168</v>
      </c>
      <c r="P29" s="29">
        <v>430289</v>
      </c>
      <c r="Q29" s="30">
        <v>903976</v>
      </c>
      <c r="R29" s="30">
        <v>936681</v>
      </c>
      <c r="S29" s="30">
        <v>909225</v>
      </c>
      <c r="T29" s="30">
        <v>834243</v>
      </c>
      <c r="U29" s="30">
        <v>833583</v>
      </c>
      <c r="V29" s="30">
        <v>801636</v>
      </c>
      <c r="W29" s="30">
        <v>637694</v>
      </c>
      <c r="X29" s="30">
        <v>331749</v>
      </c>
      <c r="Y29" s="30">
        <v>123325</v>
      </c>
      <c r="Z29" s="31">
        <v>6742401</v>
      </c>
      <c r="AA29" s="32">
        <f t="shared" si="1"/>
        <v>1.9754165223837933E-4</v>
      </c>
      <c r="AB29" s="32">
        <f t="shared" si="1"/>
        <v>7.0798339778932186E-5</v>
      </c>
      <c r="AC29" s="32">
        <f t="shared" si="1"/>
        <v>5.6582764035995178E-5</v>
      </c>
      <c r="AD29" s="32">
        <f t="shared" si="1"/>
        <v>5.0592537600703896E-5</v>
      </c>
      <c r="AE29" s="32">
        <f t="shared" si="1"/>
        <v>6.1133266925823769E-5</v>
      </c>
      <c r="AF29" s="32">
        <f t="shared" ref="AF29:AJ92" si="3">I29/U29</f>
        <v>4.678598291951731E-5</v>
      </c>
      <c r="AG29" s="32">
        <f t="shared" si="3"/>
        <v>9.6053570448432953E-5</v>
      </c>
      <c r="AH29" s="32">
        <f t="shared" si="3"/>
        <v>2.2267733427004175E-4</v>
      </c>
      <c r="AI29" s="32">
        <f t="shared" si="3"/>
        <v>6.390373444984009E-4</v>
      </c>
      <c r="AJ29" s="32">
        <f t="shared" si="3"/>
        <v>2.7488343807013987E-3</v>
      </c>
      <c r="AK29" s="33">
        <f t="shared" si="2"/>
        <v>1.7323205783814993E-4</v>
      </c>
    </row>
    <row r="30" spans="1:37" x14ac:dyDescent="0.3">
      <c r="A30" t="s">
        <v>42</v>
      </c>
      <c r="B30" s="1">
        <v>2009</v>
      </c>
      <c r="C30" s="1" t="str">
        <f t="shared" si="0"/>
        <v>Arkansas, 2009</v>
      </c>
      <c r="D30" s="27">
        <v>112</v>
      </c>
      <c r="E30" s="27">
        <v>31</v>
      </c>
      <c r="F30" s="27">
        <v>68</v>
      </c>
      <c r="G30" s="27">
        <v>54</v>
      </c>
      <c r="H30" s="27">
        <v>60</v>
      </c>
      <c r="I30" s="27">
        <v>69</v>
      </c>
      <c r="J30" s="27">
        <v>54</v>
      </c>
      <c r="K30" s="27">
        <v>61</v>
      </c>
      <c r="L30" s="27">
        <v>198</v>
      </c>
      <c r="M30" s="27">
        <v>288</v>
      </c>
      <c r="N30" s="27">
        <v>35</v>
      </c>
      <c r="O30" s="28">
        <v>1030</v>
      </c>
      <c r="P30" s="29">
        <v>198959.60400000005</v>
      </c>
      <c r="Q30" s="30">
        <v>382358.41600000008</v>
      </c>
      <c r="R30" s="30">
        <v>391430.01899999985</v>
      </c>
      <c r="S30" s="30">
        <v>377051.39399999997</v>
      </c>
      <c r="T30" s="30">
        <v>375183.0560000001</v>
      </c>
      <c r="U30" s="30">
        <v>393354.82899999991</v>
      </c>
      <c r="V30" s="30">
        <v>322334.09100000007</v>
      </c>
      <c r="W30" s="30">
        <v>210652.32399999999</v>
      </c>
      <c r="X30" s="30">
        <v>137259.10600000003</v>
      </c>
      <c r="Y30" s="30">
        <v>51320.077999999987</v>
      </c>
      <c r="Z30" s="31">
        <v>2838143</v>
      </c>
      <c r="AA30" s="32">
        <f t="shared" ref="AA30:AE93" si="4">D30/P30</f>
        <v>5.6292834197639423E-4</v>
      </c>
      <c r="AB30" s="32">
        <f t="shared" si="4"/>
        <v>8.1075762171794311E-5</v>
      </c>
      <c r="AC30" s="32">
        <f t="shared" si="4"/>
        <v>1.737219852828917E-4</v>
      </c>
      <c r="AD30" s="32">
        <f t="shared" si="4"/>
        <v>1.4321655047375319E-4</v>
      </c>
      <c r="AE30" s="32">
        <f t="shared" si="4"/>
        <v>1.5992193421442781E-4</v>
      </c>
      <c r="AF30" s="32">
        <f t="shared" si="3"/>
        <v>1.7541414243067553E-4</v>
      </c>
      <c r="AG30" s="32">
        <f t="shared" si="3"/>
        <v>1.675280446833034E-4</v>
      </c>
      <c r="AH30" s="32">
        <f t="shared" si="3"/>
        <v>2.8957667706528605E-4</v>
      </c>
      <c r="AI30" s="32">
        <f t="shared" si="3"/>
        <v>1.4425272447862218E-3</v>
      </c>
      <c r="AJ30" s="32">
        <f t="shared" si="3"/>
        <v>5.6118387037525563E-3</v>
      </c>
      <c r="AK30" s="33">
        <f t="shared" si="2"/>
        <v>3.629133556695346E-4</v>
      </c>
    </row>
    <row r="31" spans="1:37" x14ac:dyDescent="0.3">
      <c r="A31" t="s">
        <v>42</v>
      </c>
      <c r="B31" s="1">
        <v>2010</v>
      </c>
      <c r="C31" s="1" t="str">
        <f t="shared" si="0"/>
        <v>Arkansas, 2010</v>
      </c>
      <c r="D31" s="27">
        <v>113</v>
      </c>
      <c r="E31" s="27">
        <v>39</v>
      </c>
      <c r="F31" s="27">
        <v>55</v>
      </c>
      <c r="G31" s="27">
        <v>56</v>
      </c>
      <c r="H31" s="27">
        <v>32</v>
      </c>
      <c r="I31" s="27">
        <v>60</v>
      </c>
      <c r="J31" s="27">
        <v>42</v>
      </c>
      <c r="K31" s="27">
        <v>82</v>
      </c>
      <c r="L31" s="27">
        <v>183</v>
      </c>
      <c r="M31" s="27">
        <v>263</v>
      </c>
      <c r="N31" s="27">
        <v>59</v>
      </c>
      <c r="O31" s="28">
        <v>984</v>
      </c>
      <c r="P31" s="29">
        <v>193568.78600000005</v>
      </c>
      <c r="Q31" s="30">
        <v>386172.92100000009</v>
      </c>
      <c r="R31" s="30">
        <v>398507.02000000008</v>
      </c>
      <c r="S31" s="30">
        <v>366471.83400000015</v>
      </c>
      <c r="T31" s="30">
        <v>371778.59700000007</v>
      </c>
      <c r="U31" s="30">
        <v>396721.25099999993</v>
      </c>
      <c r="V31" s="30">
        <v>333993.42299999989</v>
      </c>
      <c r="W31" s="30">
        <v>221556.47499999998</v>
      </c>
      <c r="X31" s="30">
        <v>131927.916</v>
      </c>
      <c r="Y31" s="30">
        <v>49615.465999999993</v>
      </c>
      <c r="Z31" s="31">
        <v>2850143</v>
      </c>
      <c r="AA31" s="32">
        <f t="shared" si="4"/>
        <v>5.8377180709290582E-4</v>
      </c>
      <c r="AB31" s="32">
        <f t="shared" si="4"/>
        <v>1.0099102728127328E-4</v>
      </c>
      <c r="AC31" s="32">
        <f t="shared" si="4"/>
        <v>1.3801513458909704E-4</v>
      </c>
      <c r="AD31" s="32">
        <f t="shared" si="4"/>
        <v>1.528084693133606E-4</v>
      </c>
      <c r="AE31" s="32">
        <f t="shared" si="4"/>
        <v>8.6072733229449445E-5</v>
      </c>
      <c r="AF31" s="32">
        <f t="shared" si="3"/>
        <v>1.5123969247616637E-4</v>
      </c>
      <c r="AG31" s="32">
        <f t="shared" si="3"/>
        <v>1.2575097923410311E-4</v>
      </c>
      <c r="AH31" s="32">
        <f t="shared" si="3"/>
        <v>3.701087950600406E-4</v>
      </c>
      <c r="AI31" s="32">
        <f t="shared" si="3"/>
        <v>1.3871211306028665E-3</v>
      </c>
      <c r="AJ31" s="32">
        <f t="shared" si="3"/>
        <v>5.3007664988977436E-3</v>
      </c>
      <c r="AK31" s="33">
        <f t="shared" si="2"/>
        <v>3.4524583503354041E-4</v>
      </c>
    </row>
    <row r="32" spans="1:37" x14ac:dyDescent="0.3">
      <c r="A32" t="s">
        <v>42</v>
      </c>
      <c r="B32" s="1">
        <v>2011</v>
      </c>
      <c r="C32" s="1" t="str">
        <f t="shared" si="0"/>
        <v>Arkansas, 2011</v>
      </c>
      <c r="D32" s="27">
        <v>118</v>
      </c>
      <c r="E32" s="27">
        <v>63</v>
      </c>
      <c r="F32" s="27">
        <v>27</v>
      </c>
      <c r="G32" s="27">
        <v>57</v>
      </c>
      <c r="H32" s="27">
        <v>50</v>
      </c>
      <c r="I32" s="27">
        <v>57</v>
      </c>
      <c r="J32" s="27">
        <v>62</v>
      </c>
      <c r="K32" s="27">
        <v>81</v>
      </c>
      <c r="L32" s="27">
        <v>189</v>
      </c>
      <c r="M32" s="27">
        <v>343</v>
      </c>
      <c r="N32" s="27">
        <v>49</v>
      </c>
      <c r="O32" s="28">
        <v>1096</v>
      </c>
      <c r="P32" s="29">
        <v>192666.97600000002</v>
      </c>
      <c r="Q32" s="30">
        <v>383114.79099999997</v>
      </c>
      <c r="R32" s="30">
        <v>395696.29200000002</v>
      </c>
      <c r="S32" s="30">
        <v>367825.68799999991</v>
      </c>
      <c r="T32" s="30">
        <v>365060.64700000006</v>
      </c>
      <c r="U32" s="30">
        <v>391963.91599999991</v>
      </c>
      <c r="V32" s="30">
        <v>333259.70500000013</v>
      </c>
      <c r="W32" s="30">
        <v>219282.82599999997</v>
      </c>
      <c r="X32" s="30">
        <v>128850.80699999997</v>
      </c>
      <c r="Y32" s="30">
        <v>48440.682999999997</v>
      </c>
      <c r="Z32" s="31">
        <v>2826806</v>
      </c>
      <c r="AA32" s="32">
        <f t="shared" si="4"/>
        <v>6.1245576408486312E-4</v>
      </c>
      <c r="AB32" s="32">
        <f t="shared" si="4"/>
        <v>1.6444157594531505E-4</v>
      </c>
      <c r="AC32" s="32">
        <f t="shared" si="4"/>
        <v>6.8234149639188435E-5</v>
      </c>
      <c r="AD32" s="32">
        <f t="shared" si="4"/>
        <v>1.5496470708701568E-4</v>
      </c>
      <c r="AE32" s="32">
        <f t="shared" si="4"/>
        <v>1.3696354403272613E-4</v>
      </c>
      <c r="AF32" s="32">
        <f t="shared" si="3"/>
        <v>1.4542154946732395E-4</v>
      </c>
      <c r="AG32" s="32">
        <f t="shared" si="3"/>
        <v>1.8604109368697898E-4</v>
      </c>
      <c r="AH32" s="32">
        <f t="shared" si="3"/>
        <v>3.6938597279843525E-4</v>
      </c>
      <c r="AI32" s="32">
        <f t="shared" si="3"/>
        <v>1.4668126991241898E-3</v>
      </c>
      <c r="AJ32" s="32">
        <f t="shared" si="3"/>
        <v>7.0808250164433066E-3</v>
      </c>
      <c r="AK32" s="33">
        <f t="shared" si="2"/>
        <v>3.8771673754760673E-4</v>
      </c>
    </row>
    <row r="33" spans="1:37" x14ac:dyDescent="0.3">
      <c r="A33" t="s">
        <v>42</v>
      </c>
      <c r="B33" s="1">
        <v>2012</v>
      </c>
      <c r="C33" s="1" t="str">
        <f t="shared" si="0"/>
        <v>Arkansas, 2012</v>
      </c>
      <c r="D33" s="27">
        <v>93</v>
      </c>
      <c r="E33" s="27">
        <v>56</v>
      </c>
      <c r="F33" s="27">
        <v>49</v>
      </c>
      <c r="G33" s="27">
        <v>38</v>
      </c>
      <c r="H33" s="27">
        <v>42</v>
      </c>
      <c r="I33" s="27">
        <v>63</v>
      </c>
      <c r="J33" s="27">
        <v>40</v>
      </c>
      <c r="K33" s="27">
        <v>76</v>
      </c>
      <c r="L33" s="27">
        <v>167</v>
      </c>
      <c r="M33" s="27">
        <v>353</v>
      </c>
      <c r="N33" s="27">
        <v>59</v>
      </c>
      <c r="O33" s="28">
        <v>1036</v>
      </c>
      <c r="P33" s="29">
        <v>188892.943</v>
      </c>
      <c r="Q33" s="30">
        <v>379133.89500000002</v>
      </c>
      <c r="R33" s="30">
        <v>386034.89399999997</v>
      </c>
      <c r="S33" s="30">
        <v>361059.79800000013</v>
      </c>
      <c r="T33" s="30">
        <v>355052.55399999983</v>
      </c>
      <c r="U33" s="30">
        <v>387126.16800000012</v>
      </c>
      <c r="V33" s="30">
        <v>339925.01900000015</v>
      </c>
      <c r="W33" s="30">
        <v>225865.269</v>
      </c>
      <c r="X33" s="30">
        <v>129949.34799999998</v>
      </c>
      <c r="Y33" s="30">
        <v>48274.270000000004</v>
      </c>
      <c r="Z33" s="31">
        <v>2801464</v>
      </c>
      <c r="AA33" s="32">
        <f t="shared" si="4"/>
        <v>4.9234237406105741E-4</v>
      </c>
      <c r="AB33" s="32">
        <f t="shared" si="4"/>
        <v>1.4770507395546896E-4</v>
      </c>
      <c r="AC33" s="32">
        <f t="shared" si="4"/>
        <v>1.2693153070250692E-4</v>
      </c>
      <c r="AD33" s="32">
        <f t="shared" si="4"/>
        <v>1.052457244215264E-4</v>
      </c>
      <c r="AE33" s="32">
        <f t="shared" si="4"/>
        <v>1.182923472224904E-4</v>
      </c>
      <c r="AF33" s="32">
        <f t="shared" si="3"/>
        <v>1.627376426798407E-4</v>
      </c>
      <c r="AG33" s="32">
        <f t="shared" si="3"/>
        <v>1.176730095291985E-4</v>
      </c>
      <c r="AH33" s="32">
        <f t="shared" si="3"/>
        <v>3.3648378228527025E-4</v>
      </c>
      <c r="AI33" s="32">
        <f t="shared" si="3"/>
        <v>1.2851161053920796E-3</v>
      </c>
      <c r="AJ33" s="32">
        <f t="shared" si="3"/>
        <v>7.3123840091212141E-3</v>
      </c>
      <c r="AK33" s="33">
        <f t="shared" si="2"/>
        <v>3.6980664395473223E-4</v>
      </c>
    </row>
    <row r="34" spans="1:37" x14ac:dyDescent="0.3">
      <c r="A34" t="s">
        <v>42</v>
      </c>
      <c r="B34" s="1">
        <v>2013</v>
      </c>
      <c r="C34" s="1" t="str">
        <f t="shared" si="0"/>
        <v>Arkansas, 2013</v>
      </c>
      <c r="D34" s="27">
        <v>112</v>
      </c>
      <c r="E34" s="27">
        <v>62</v>
      </c>
      <c r="F34" s="27">
        <v>68</v>
      </c>
      <c r="G34" s="27">
        <v>60</v>
      </c>
      <c r="H34" s="27">
        <v>51</v>
      </c>
      <c r="I34" s="27">
        <v>42</v>
      </c>
      <c r="J34" s="27">
        <v>51</v>
      </c>
      <c r="K34" s="27">
        <v>125</v>
      </c>
      <c r="L34" s="27">
        <v>192</v>
      </c>
      <c r="M34" s="27">
        <v>335</v>
      </c>
      <c r="N34" s="27">
        <v>54</v>
      </c>
      <c r="O34" s="28">
        <v>1152</v>
      </c>
      <c r="P34" s="29">
        <v>188801.52699999994</v>
      </c>
      <c r="Q34" s="30">
        <v>381168.8</v>
      </c>
      <c r="R34" s="30">
        <v>390731.38600000006</v>
      </c>
      <c r="S34" s="30">
        <v>369371.08000000007</v>
      </c>
      <c r="T34" s="30">
        <v>353863.21</v>
      </c>
      <c r="U34" s="30">
        <v>383426.75999999995</v>
      </c>
      <c r="V34" s="30">
        <v>339907.81000000006</v>
      </c>
      <c r="W34" s="30">
        <v>227033.32199999996</v>
      </c>
      <c r="X34" s="30">
        <v>127860.80200000001</v>
      </c>
      <c r="Y34" s="30">
        <v>48442.167999999998</v>
      </c>
      <c r="Z34" s="31">
        <v>2811387</v>
      </c>
      <c r="AA34" s="32">
        <f t="shared" si="4"/>
        <v>5.9321554110099985E-4</v>
      </c>
      <c r="AB34" s="32">
        <f t="shared" si="4"/>
        <v>1.6265759422072322E-4</v>
      </c>
      <c r="AC34" s="32">
        <f t="shared" si="4"/>
        <v>1.7403260254091795E-4</v>
      </c>
      <c r="AD34" s="32">
        <f t="shared" si="4"/>
        <v>1.6243827210294859E-4</v>
      </c>
      <c r="AE34" s="32">
        <f t="shared" si="4"/>
        <v>1.4412348771718878E-4</v>
      </c>
      <c r="AF34" s="32">
        <f t="shared" si="3"/>
        <v>1.0953852047259301E-4</v>
      </c>
      <c r="AG34" s="32">
        <f t="shared" si="3"/>
        <v>1.5004068308992368E-4</v>
      </c>
      <c r="AH34" s="32">
        <f t="shared" si="3"/>
        <v>5.5057997169243738E-4</v>
      </c>
      <c r="AI34" s="32">
        <f t="shared" si="3"/>
        <v>1.5016330024271237E-3</v>
      </c>
      <c r="AJ34" s="32">
        <f t="shared" si="3"/>
        <v>6.9154625779754538E-3</v>
      </c>
      <c r="AK34" s="33">
        <f t="shared" si="2"/>
        <v>4.0976215654408302E-4</v>
      </c>
    </row>
    <row r="35" spans="1:37" x14ac:dyDescent="0.3">
      <c r="A35" t="s">
        <v>42</v>
      </c>
      <c r="B35" s="1">
        <v>2014</v>
      </c>
      <c r="C35" s="1" t="str">
        <f t="shared" si="0"/>
        <v>Arkansas, 2014</v>
      </c>
      <c r="D35" s="27">
        <v>114</v>
      </c>
      <c r="E35" s="27">
        <v>52</v>
      </c>
      <c r="F35" s="27">
        <v>67</v>
      </c>
      <c r="G35" s="27">
        <v>58</v>
      </c>
      <c r="H35" s="27">
        <v>56</v>
      </c>
      <c r="I35" s="27">
        <v>53</v>
      </c>
      <c r="J35" s="27">
        <v>65</v>
      </c>
      <c r="K35" s="27">
        <v>101</v>
      </c>
      <c r="L35" s="27">
        <v>176</v>
      </c>
      <c r="M35" s="27">
        <v>260</v>
      </c>
      <c r="N35" s="27">
        <v>43</v>
      </c>
      <c r="O35" s="28">
        <v>1045</v>
      </c>
      <c r="P35" s="29">
        <v>173574.08500000008</v>
      </c>
      <c r="Q35" s="30">
        <v>354519.68700000003</v>
      </c>
      <c r="R35" s="30">
        <v>363256.68799999991</v>
      </c>
      <c r="S35" s="30">
        <v>340825.92200000008</v>
      </c>
      <c r="T35" s="30">
        <v>325062.92399999994</v>
      </c>
      <c r="U35" s="30">
        <v>348217.23899999994</v>
      </c>
      <c r="V35" s="30">
        <v>317064.55099999998</v>
      </c>
      <c r="W35" s="30">
        <v>216239.49099999995</v>
      </c>
      <c r="X35" s="30">
        <v>118284.51099999998</v>
      </c>
      <c r="Y35" s="30">
        <v>44697.921000000002</v>
      </c>
      <c r="Z35" s="31">
        <v>2601795</v>
      </c>
      <c r="AA35" s="32">
        <f t="shared" si="4"/>
        <v>6.567800717486136E-4</v>
      </c>
      <c r="AB35" s="32">
        <f t="shared" si="4"/>
        <v>1.4667732683629499E-4</v>
      </c>
      <c r="AC35" s="32">
        <f t="shared" si="4"/>
        <v>1.8444257797120041E-4</v>
      </c>
      <c r="AD35" s="32">
        <f t="shared" si="4"/>
        <v>1.7017484955266984E-4</v>
      </c>
      <c r="AE35" s="32">
        <f t="shared" si="4"/>
        <v>1.7227433787558009E-4</v>
      </c>
      <c r="AF35" s="32">
        <f t="shared" si="3"/>
        <v>1.5220383732925989E-4</v>
      </c>
      <c r="AG35" s="32">
        <f t="shared" si="3"/>
        <v>2.0500557313958445E-4</v>
      </c>
      <c r="AH35" s="32">
        <f t="shared" si="3"/>
        <v>4.6707472133293186E-4</v>
      </c>
      <c r="AI35" s="32">
        <f t="shared" si="3"/>
        <v>1.4879378416671988E-3</v>
      </c>
      <c r="AJ35" s="32">
        <f t="shared" si="3"/>
        <v>5.816825350780856E-3</v>
      </c>
      <c r="AK35" s="33">
        <f t="shared" si="2"/>
        <v>4.0164578685100092E-4</v>
      </c>
    </row>
    <row r="36" spans="1:37" x14ac:dyDescent="0.3">
      <c r="A36" t="s">
        <v>42</v>
      </c>
      <c r="B36" s="1">
        <v>2015</v>
      </c>
      <c r="C36" s="1" t="str">
        <f t="shared" si="0"/>
        <v>Arkansas, 2015</v>
      </c>
      <c r="D36" s="27">
        <v>117</v>
      </c>
      <c r="E36" s="27">
        <v>46</v>
      </c>
      <c r="F36" s="27">
        <v>48</v>
      </c>
      <c r="G36" s="27">
        <v>69</v>
      </c>
      <c r="H36" s="27">
        <v>71</v>
      </c>
      <c r="I36" s="27">
        <v>54</v>
      </c>
      <c r="J36" s="27">
        <v>50</v>
      </c>
      <c r="K36" s="27">
        <v>95</v>
      </c>
      <c r="L36" s="27">
        <v>178</v>
      </c>
      <c r="M36" s="27">
        <v>268</v>
      </c>
      <c r="N36" s="27">
        <v>52</v>
      </c>
      <c r="O36" s="28">
        <v>1048</v>
      </c>
      <c r="P36" s="29">
        <v>178779.83200000002</v>
      </c>
      <c r="Q36" s="30">
        <v>368331.63800000004</v>
      </c>
      <c r="R36" s="30">
        <v>373176.60200000001</v>
      </c>
      <c r="S36" s="30">
        <v>360101.68099999992</v>
      </c>
      <c r="T36" s="30">
        <v>340445.245</v>
      </c>
      <c r="U36" s="30">
        <v>360744.06799999997</v>
      </c>
      <c r="V36" s="30">
        <v>338824.58299999993</v>
      </c>
      <c r="W36" s="30">
        <v>239973.62599999999</v>
      </c>
      <c r="X36" s="30">
        <v>127727.42700000001</v>
      </c>
      <c r="Y36" s="30">
        <v>49199.804000000004</v>
      </c>
      <c r="Z36" s="31">
        <v>2737618</v>
      </c>
      <c r="AA36" s="32">
        <f t="shared" si="4"/>
        <v>6.5443623417209599E-4</v>
      </c>
      <c r="AB36" s="32">
        <f t="shared" si="4"/>
        <v>1.2488745264939744E-4</v>
      </c>
      <c r="AC36" s="32">
        <f t="shared" si="4"/>
        <v>1.2862542759312654E-4</v>
      </c>
      <c r="AD36" s="32">
        <f t="shared" si="4"/>
        <v>1.9161254623523962E-4</v>
      </c>
      <c r="AE36" s="32">
        <f t="shared" si="4"/>
        <v>2.0855042343152715E-4</v>
      </c>
      <c r="AF36" s="32">
        <f t="shared" si="3"/>
        <v>1.4969061112877401E-4</v>
      </c>
      <c r="AG36" s="32">
        <f t="shared" si="3"/>
        <v>1.4756898557151036E-4</v>
      </c>
      <c r="AH36" s="32">
        <f t="shared" si="3"/>
        <v>3.9587683689873486E-4</v>
      </c>
      <c r="AI36" s="32">
        <f t="shared" si="3"/>
        <v>1.3935926228279851E-3</v>
      </c>
      <c r="AJ36" s="32">
        <f t="shared" si="3"/>
        <v>5.4471761716774316E-3</v>
      </c>
      <c r="AK36" s="33">
        <f t="shared" si="2"/>
        <v>3.8281454899843589E-4</v>
      </c>
    </row>
    <row r="37" spans="1:37" x14ac:dyDescent="0.3">
      <c r="A37" t="s">
        <v>42</v>
      </c>
      <c r="B37" s="1">
        <v>2016</v>
      </c>
      <c r="C37" s="1" t="str">
        <f t="shared" si="0"/>
        <v>Arkansas, 2016</v>
      </c>
      <c r="D37" s="27">
        <v>133</v>
      </c>
      <c r="E37" s="27">
        <v>49</v>
      </c>
      <c r="F37" s="27">
        <v>48</v>
      </c>
      <c r="G37" s="27">
        <v>53</v>
      </c>
      <c r="H37" s="27">
        <v>49</v>
      </c>
      <c r="I37" s="27">
        <v>54</v>
      </c>
      <c r="J37" s="27">
        <v>38</v>
      </c>
      <c r="K37" s="27">
        <v>95</v>
      </c>
      <c r="L37" s="27">
        <v>166</v>
      </c>
      <c r="M37" s="27">
        <v>239</v>
      </c>
      <c r="N37" s="27">
        <v>63</v>
      </c>
      <c r="O37" s="28">
        <v>987</v>
      </c>
      <c r="P37" s="29">
        <v>169569.09199999989</v>
      </c>
      <c r="Q37" s="30">
        <v>352135.12400000013</v>
      </c>
      <c r="R37" s="30">
        <v>366773.55299999996</v>
      </c>
      <c r="S37" s="30">
        <v>346399.3139999999</v>
      </c>
      <c r="T37" s="30">
        <v>326982.95799999998</v>
      </c>
      <c r="U37" s="30">
        <v>339829.8569999999</v>
      </c>
      <c r="V37" s="30">
        <v>323191.05399999989</v>
      </c>
      <c r="W37" s="30">
        <v>229487.77499999997</v>
      </c>
      <c r="X37" s="30">
        <v>120178.86599999999</v>
      </c>
      <c r="Y37" s="30">
        <v>46731.561999999998</v>
      </c>
      <c r="Z37" s="31">
        <v>2621707</v>
      </c>
      <c r="AA37" s="32">
        <f t="shared" si="4"/>
        <v>7.843410519648244E-4</v>
      </c>
      <c r="AB37" s="32">
        <f t="shared" si="4"/>
        <v>1.3915112881497156E-4</v>
      </c>
      <c r="AC37" s="32">
        <f t="shared" si="4"/>
        <v>1.3087094095903912E-4</v>
      </c>
      <c r="AD37" s="32">
        <f t="shared" si="4"/>
        <v>1.5300261247053166E-4</v>
      </c>
      <c r="AE37" s="32">
        <f t="shared" si="4"/>
        <v>1.4985490467059754E-4</v>
      </c>
      <c r="AF37" s="32">
        <f t="shared" si="3"/>
        <v>1.5890304776840138E-4</v>
      </c>
      <c r="AG37" s="32">
        <f t="shared" si="3"/>
        <v>1.1757751190724485E-4</v>
      </c>
      <c r="AH37" s="32">
        <f t="shared" si="3"/>
        <v>4.1396540621826158E-4</v>
      </c>
      <c r="AI37" s="32">
        <f t="shared" si="3"/>
        <v>1.3812744746651213E-3</v>
      </c>
      <c r="AJ37" s="32">
        <f t="shared" si="3"/>
        <v>5.1143165298005661E-3</v>
      </c>
      <c r="AK37" s="33">
        <f t="shared" si="2"/>
        <v>3.7647227550599669E-4</v>
      </c>
    </row>
    <row r="38" spans="1:37" x14ac:dyDescent="0.3">
      <c r="A38" t="s">
        <v>42</v>
      </c>
      <c r="B38" s="1">
        <v>2017</v>
      </c>
      <c r="C38" s="1" t="str">
        <f t="shared" si="0"/>
        <v>Arkansas, 2017</v>
      </c>
      <c r="D38" s="27">
        <v>117</v>
      </c>
      <c r="E38" s="27">
        <v>52</v>
      </c>
      <c r="F38" s="27">
        <v>54</v>
      </c>
      <c r="G38" s="27">
        <v>68</v>
      </c>
      <c r="H38" s="27">
        <v>54</v>
      </c>
      <c r="I38" s="27">
        <v>35</v>
      </c>
      <c r="J38" s="27">
        <v>58</v>
      </c>
      <c r="K38" s="27">
        <v>111</v>
      </c>
      <c r="L38" s="27">
        <v>220</v>
      </c>
      <c r="M38" s="27">
        <v>240</v>
      </c>
      <c r="N38" s="27">
        <v>39</v>
      </c>
      <c r="O38" s="28">
        <v>1048</v>
      </c>
      <c r="P38" s="29">
        <v>181571</v>
      </c>
      <c r="Q38" s="30">
        <v>376363</v>
      </c>
      <c r="R38" s="30">
        <v>388332</v>
      </c>
      <c r="S38" s="30">
        <v>370003</v>
      </c>
      <c r="T38" s="30">
        <v>348408</v>
      </c>
      <c r="U38" s="30">
        <v>355869</v>
      </c>
      <c r="V38" s="30">
        <v>345529</v>
      </c>
      <c r="W38" s="30">
        <v>253452</v>
      </c>
      <c r="X38" s="30">
        <v>130334</v>
      </c>
      <c r="Y38" s="30">
        <v>51327</v>
      </c>
      <c r="Z38" s="31">
        <v>2801188</v>
      </c>
      <c r="AA38" s="32">
        <f t="shared" si="4"/>
        <v>6.4437602921171334E-4</v>
      </c>
      <c r="AB38" s="32">
        <f t="shared" si="4"/>
        <v>1.3816448481917724E-4</v>
      </c>
      <c r="AC38" s="32">
        <f t="shared" si="4"/>
        <v>1.3905627143784185E-4</v>
      </c>
      <c r="AD38" s="32">
        <f t="shared" si="4"/>
        <v>1.8378229365707845E-4</v>
      </c>
      <c r="AE38" s="32">
        <f t="shared" si="4"/>
        <v>1.5499070055796651E-4</v>
      </c>
      <c r="AF38" s="32">
        <f t="shared" si="3"/>
        <v>9.8350797624968737E-5</v>
      </c>
      <c r="AG38" s="32">
        <f t="shared" si="3"/>
        <v>1.6785855890533066E-4</v>
      </c>
      <c r="AH38" s="32">
        <f t="shared" si="3"/>
        <v>4.3795274844941055E-4</v>
      </c>
      <c r="AI38" s="32">
        <f t="shared" si="3"/>
        <v>1.6879709055196649E-3</v>
      </c>
      <c r="AJ38" s="32">
        <f t="shared" si="3"/>
        <v>4.675901572271904E-3</v>
      </c>
      <c r="AK38" s="33">
        <f t="shared" si="2"/>
        <v>3.7412697755380929E-4</v>
      </c>
    </row>
    <row r="39" spans="1:37" x14ac:dyDescent="0.3">
      <c r="A39" t="s">
        <v>43</v>
      </c>
      <c r="B39" s="1">
        <v>2009</v>
      </c>
      <c r="C39" s="1" t="str">
        <f t="shared" si="0"/>
        <v>California, 2009</v>
      </c>
      <c r="D39" s="27">
        <v>103</v>
      </c>
      <c r="E39" s="27">
        <v>54</v>
      </c>
      <c r="F39" s="27">
        <v>48</v>
      </c>
      <c r="G39" s="27">
        <v>105</v>
      </c>
      <c r="H39" s="27">
        <v>177</v>
      </c>
      <c r="I39" s="27">
        <v>346</v>
      </c>
      <c r="J39" s="27">
        <v>436</v>
      </c>
      <c r="K39" s="27">
        <v>708</v>
      </c>
      <c r="L39" s="27">
        <v>1633</v>
      </c>
      <c r="M39" s="27">
        <v>2856</v>
      </c>
      <c r="N39" s="27">
        <v>55</v>
      </c>
      <c r="O39" s="28">
        <v>6521</v>
      </c>
      <c r="P39" s="29">
        <v>2705685.9460000009</v>
      </c>
      <c r="Q39" s="30">
        <v>5120723.3670000006</v>
      </c>
      <c r="R39" s="30">
        <v>5278915.8820000002</v>
      </c>
      <c r="S39" s="30">
        <v>5289214.3649999993</v>
      </c>
      <c r="T39" s="30">
        <v>5350963.709999999</v>
      </c>
      <c r="U39" s="30">
        <v>5064462.9830000009</v>
      </c>
      <c r="V39" s="30">
        <v>3562834.6289999997</v>
      </c>
      <c r="W39" s="30">
        <v>2053164.0649999997</v>
      </c>
      <c r="X39" s="30">
        <v>1375527.5410000004</v>
      </c>
      <c r="Y39" s="30">
        <v>543363.00399999996</v>
      </c>
      <c r="Z39" s="31">
        <v>36308527</v>
      </c>
      <c r="AA39" s="32">
        <f t="shared" si="4"/>
        <v>3.8067980562293966E-5</v>
      </c>
      <c r="AB39" s="32">
        <f t="shared" si="4"/>
        <v>1.0545385120390941E-5</v>
      </c>
      <c r="AC39" s="32">
        <f t="shared" si="4"/>
        <v>9.0927760685996091E-6</v>
      </c>
      <c r="AD39" s="32">
        <f t="shared" si="4"/>
        <v>1.9851719509575977E-5</v>
      </c>
      <c r="AE39" s="32">
        <f t="shared" si="4"/>
        <v>3.3078153692057098E-5</v>
      </c>
      <c r="AF39" s="32">
        <f t="shared" si="3"/>
        <v>6.8319188265651489E-5</v>
      </c>
      <c r="AG39" s="32">
        <f t="shared" si="3"/>
        <v>1.2237447016236465E-4</v>
      </c>
      <c r="AH39" s="32">
        <f t="shared" si="3"/>
        <v>3.4483362146706971E-4</v>
      </c>
      <c r="AI39" s="32">
        <f t="shared" si="3"/>
        <v>1.1871808824800547E-3</v>
      </c>
      <c r="AJ39" s="32">
        <f t="shared" si="3"/>
        <v>5.2561546866006364E-3</v>
      </c>
      <c r="AK39" s="33">
        <f t="shared" si="2"/>
        <v>1.7959968466911368E-4</v>
      </c>
    </row>
    <row r="40" spans="1:37" x14ac:dyDescent="0.3">
      <c r="A40" t="s">
        <v>43</v>
      </c>
      <c r="B40" s="1">
        <v>2010</v>
      </c>
      <c r="C40" s="1" t="str">
        <f t="shared" si="0"/>
        <v>California, 2010</v>
      </c>
      <c r="D40" s="27">
        <v>119</v>
      </c>
      <c r="E40" s="27">
        <v>62</v>
      </c>
      <c r="F40" s="27">
        <v>49</v>
      </c>
      <c r="G40" s="27">
        <v>72</v>
      </c>
      <c r="H40" s="27">
        <v>81</v>
      </c>
      <c r="I40" s="27">
        <v>140</v>
      </c>
      <c r="J40" s="27">
        <v>351</v>
      </c>
      <c r="K40" s="27">
        <v>695</v>
      </c>
      <c r="L40" s="27">
        <v>1579</v>
      </c>
      <c r="M40" s="27">
        <v>2955</v>
      </c>
      <c r="N40" s="27">
        <v>70</v>
      </c>
      <c r="O40" s="28">
        <v>6173</v>
      </c>
      <c r="P40" s="29">
        <v>2535634.203999999</v>
      </c>
      <c r="Q40" s="30">
        <v>5069381.2720000017</v>
      </c>
      <c r="R40" s="30">
        <v>5478728.7649999997</v>
      </c>
      <c r="S40" s="30">
        <v>5214198.7339999992</v>
      </c>
      <c r="T40" s="30">
        <v>5246795.1690000007</v>
      </c>
      <c r="U40" s="30">
        <v>5104320.8229999999</v>
      </c>
      <c r="V40" s="30">
        <v>3730652.4450000003</v>
      </c>
      <c r="W40" s="30">
        <v>2113248.1669999994</v>
      </c>
      <c r="X40" s="30">
        <v>1351939.3490000002</v>
      </c>
      <c r="Y40" s="30">
        <v>555556.43999999971</v>
      </c>
      <c r="Z40" s="31">
        <v>36388689</v>
      </c>
      <c r="AA40" s="32">
        <f t="shared" si="4"/>
        <v>4.6931059619039613E-5</v>
      </c>
      <c r="AB40" s="32">
        <f t="shared" si="4"/>
        <v>1.2230289392997145E-5</v>
      </c>
      <c r="AC40" s="32">
        <f t="shared" si="4"/>
        <v>8.9436805693008243E-6</v>
      </c>
      <c r="AD40" s="32">
        <f t="shared" si="4"/>
        <v>1.3808449518909343E-5</v>
      </c>
      <c r="AE40" s="32">
        <f t="shared" si="4"/>
        <v>1.5437995460272177E-5</v>
      </c>
      <c r="AF40" s="32">
        <f t="shared" si="3"/>
        <v>2.7427743054308404E-5</v>
      </c>
      <c r="AG40" s="32">
        <f t="shared" si="3"/>
        <v>9.4085419420516389E-5</v>
      </c>
      <c r="AH40" s="32">
        <f t="shared" si="3"/>
        <v>3.2887760692424165E-4</v>
      </c>
      <c r="AI40" s="32">
        <f t="shared" si="3"/>
        <v>1.1679518028437825E-3</v>
      </c>
      <c r="AJ40" s="32">
        <f t="shared" si="3"/>
        <v>5.3189915321654839E-3</v>
      </c>
      <c r="AK40" s="33">
        <f t="shared" si="2"/>
        <v>1.6964062651446442E-4</v>
      </c>
    </row>
    <row r="41" spans="1:37" x14ac:dyDescent="0.3">
      <c r="A41" t="s">
        <v>43</v>
      </c>
      <c r="B41" s="1">
        <v>2011</v>
      </c>
      <c r="C41" s="1" t="str">
        <f t="shared" si="0"/>
        <v>California, 2011</v>
      </c>
      <c r="D41" s="27">
        <v>85</v>
      </c>
      <c r="E41" s="27">
        <v>53</v>
      </c>
      <c r="F41" s="27">
        <v>56</v>
      </c>
      <c r="G41" s="27">
        <v>44</v>
      </c>
      <c r="H41" s="27">
        <v>90</v>
      </c>
      <c r="I41" s="27">
        <v>214</v>
      </c>
      <c r="J41" s="27">
        <v>444</v>
      </c>
      <c r="K41" s="27">
        <v>671</v>
      </c>
      <c r="L41" s="27">
        <v>1617</v>
      </c>
      <c r="M41" s="27">
        <v>3050</v>
      </c>
      <c r="N41" s="27">
        <v>39</v>
      </c>
      <c r="O41" s="28">
        <v>6363</v>
      </c>
      <c r="P41" s="29">
        <v>2549625.0319999997</v>
      </c>
      <c r="Q41" s="30">
        <v>5079649.3149999995</v>
      </c>
      <c r="R41" s="30">
        <v>5556442.8609999986</v>
      </c>
      <c r="S41" s="30">
        <v>5285804.7600000007</v>
      </c>
      <c r="T41" s="30">
        <v>5239311.8510000007</v>
      </c>
      <c r="U41" s="30">
        <v>5200534.3969999999</v>
      </c>
      <c r="V41" s="30">
        <v>3911197.6839999994</v>
      </c>
      <c r="W41" s="30">
        <v>2219960.1390000004</v>
      </c>
      <c r="X41" s="30">
        <v>1380683.5560000003</v>
      </c>
      <c r="Y41" s="30">
        <v>582011.06799999997</v>
      </c>
      <c r="Z41" s="31">
        <v>36968289</v>
      </c>
      <c r="AA41" s="32">
        <f t="shared" si="4"/>
        <v>3.3338235596676559E-5</v>
      </c>
      <c r="AB41" s="32">
        <f t="shared" si="4"/>
        <v>1.0433791136622983E-5</v>
      </c>
      <c r="AC41" s="32">
        <f t="shared" si="4"/>
        <v>1.0078390330089999E-5</v>
      </c>
      <c r="AD41" s="32">
        <f t="shared" si="4"/>
        <v>8.3241818413285467E-6</v>
      </c>
      <c r="AE41" s="32">
        <f t="shared" si="4"/>
        <v>1.7177828417070109E-5</v>
      </c>
      <c r="AF41" s="32">
        <f t="shared" si="3"/>
        <v>4.1149617263073746E-5</v>
      </c>
      <c r="AG41" s="32">
        <f t="shared" si="3"/>
        <v>1.1352021448987954E-4</v>
      </c>
      <c r="AH41" s="32">
        <f t="shared" si="3"/>
        <v>3.022576794114229E-4</v>
      </c>
      <c r="AI41" s="32">
        <f t="shared" si="3"/>
        <v>1.1711590197283407E-3</v>
      </c>
      <c r="AJ41" s="32">
        <f t="shared" si="3"/>
        <v>5.2404501695833732E-3</v>
      </c>
      <c r="AK41" s="33">
        <f t="shared" si="2"/>
        <v>1.7212048953631583E-4</v>
      </c>
    </row>
    <row r="42" spans="1:37" x14ac:dyDescent="0.3">
      <c r="A42" t="s">
        <v>43</v>
      </c>
      <c r="B42" s="1">
        <v>2012</v>
      </c>
      <c r="C42" s="1" t="str">
        <f t="shared" si="0"/>
        <v>California, 2012</v>
      </c>
      <c r="D42" s="27">
        <v>109</v>
      </c>
      <c r="E42" s="27">
        <v>58</v>
      </c>
      <c r="F42" s="27">
        <v>57</v>
      </c>
      <c r="G42" s="27">
        <v>51</v>
      </c>
      <c r="H42" s="27">
        <v>48</v>
      </c>
      <c r="I42" s="27">
        <v>167</v>
      </c>
      <c r="J42" s="27">
        <v>412</v>
      </c>
      <c r="K42" s="27">
        <v>738</v>
      </c>
      <c r="L42" s="27">
        <v>1443</v>
      </c>
      <c r="M42" s="27">
        <v>2938</v>
      </c>
      <c r="N42" s="27">
        <v>45</v>
      </c>
      <c r="O42" s="28">
        <v>6066</v>
      </c>
      <c r="P42" s="29">
        <v>2537025.6070000003</v>
      </c>
      <c r="Q42" s="30">
        <v>5078529.407999998</v>
      </c>
      <c r="R42" s="30">
        <v>5585810.1429999983</v>
      </c>
      <c r="S42" s="30">
        <v>5337192.2090000007</v>
      </c>
      <c r="T42" s="30">
        <v>5194625.8540000021</v>
      </c>
      <c r="U42" s="30">
        <v>5214623.5859999973</v>
      </c>
      <c r="V42" s="30">
        <v>4043186.7</v>
      </c>
      <c r="W42" s="30">
        <v>2301705.2390000005</v>
      </c>
      <c r="X42" s="30">
        <v>1390414.6749999996</v>
      </c>
      <c r="Y42" s="30">
        <v>613619.90099999984</v>
      </c>
      <c r="Z42" s="31">
        <v>37285502</v>
      </c>
      <c r="AA42" s="32">
        <f t="shared" si="4"/>
        <v>4.2963697212694312E-5</v>
      </c>
      <c r="AB42" s="32">
        <f t="shared" si="4"/>
        <v>1.1420628953853253E-5</v>
      </c>
      <c r="AC42" s="32">
        <f t="shared" si="4"/>
        <v>1.0204428460826047E-5</v>
      </c>
      <c r="AD42" s="32">
        <f t="shared" si="4"/>
        <v>9.5555861589544626E-6</v>
      </c>
      <c r="AE42" s="32">
        <f t="shared" si="4"/>
        <v>9.2403190045032225E-6</v>
      </c>
      <c r="AF42" s="32">
        <f t="shared" si="3"/>
        <v>3.2025322105387358E-5</v>
      </c>
      <c r="AG42" s="32">
        <f t="shared" si="3"/>
        <v>1.0189982075277403E-4</v>
      </c>
      <c r="AH42" s="32">
        <f t="shared" si="3"/>
        <v>3.2063184611798149E-4</v>
      </c>
      <c r="AI42" s="32">
        <f t="shared" si="3"/>
        <v>1.0378198863587227E-3</v>
      </c>
      <c r="AJ42" s="32">
        <f t="shared" si="3"/>
        <v>4.787980303787443E-3</v>
      </c>
      <c r="AK42" s="33">
        <f t="shared" si="2"/>
        <v>1.6269058144905761E-4</v>
      </c>
    </row>
    <row r="43" spans="1:37" x14ac:dyDescent="0.3">
      <c r="A43" t="s">
        <v>43</v>
      </c>
      <c r="B43" s="1">
        <v>2013</v>
      </c>
      <c r="C43" s="1" t="str">
        <f t="shared" si="0"/>
        <v>California, 2013</v>
      </c>
      <c r="D43" s="27">
        <v>98</v>
      </c>
      <c r="E43" s="27">
        <v>50</v>
      </c>
      <c r="F43" s="27">
        <v>59</v>
      </c>
      <c r="G43" s="27">
        <v>65</v>
      </c>
      <c r="H43" s="27">
        <v>70</v>
      </c>
      <c r="I43" s="27">
        <v>182</v>
      </c>
      <c r="J43" s="27">
        <v>501</v>
      </c>
      <c r="K43" s="27">
        <v>828</v>
      </c>
      <c r="L43" s="27">
        <v>1602</v>
      </c>
      <c r="M43" s="27">
        <v>3264</v>
      </c>
      <c r="N43" s="27">
        <v>50</v>
      </c>
      <c r="O43" s="28">
        <v>6769</v>
      </c>
      <c r="P43" s="29">
        <v>2520077.2250000001</v>
      </c>
      <c r="Q43" s="30">
        <v>5073752.6380000012</v>
      </c>
      <c r="R43" s="30">
        <v>5593393.6000000006</v>
      </c>
      <c r="S43" s="30">
        <v>5413875.4250000007</v>
      </c>
      <c r="T43" s="30">
        <v>5163813.8609999996</v>
      </c>
      <c r="U43" s="30">
        <v>5226116.1449999986</v>
      </c>
      <c r="V43" s="30">
        <v>4171800.227</v>
      </c>
      <c r="W43" s="30">
        <v>2418596.5970000001</v>
      </c>
      <c r="X43" s="30">
        <v>1390860.4590000003</v>
      </c>
      <c r="Y43" s="30">
        <v>626661.42899999989</v>
      </c>
      <c r="Z43" s="31">
        <v>37571447</v>
      </c>
      <c r="AA43" s="32">
        <f t="shared" si="4"/>
        <v>3.888769718158141E-5</v>
      </c>
      <c r="AB43" s="32">
        <f t="shared" si="4"/>
        <v>9.8546388772530443E-6</v>
      </c>
      <c r="AC43" s="32">
        <f t="shared" si="4"/>
        <v>1.054815809851107E-5</v>
      </c>
      <c r="AD43" s="32">
        <f t="shared" si="4"/>
        <v>1.2006186861974201E-5</v>
      </c>
      <c r="AE43" s="32">
        <f t="shared" si="4"/>
        <v>1.355587205198836E-5</v>
      </c>
      <c r="AF43" s="32">
        <f t="shared" si="3"/>
        <v>3.4825096677984384E-5</v>
      </c>
      <c r="AG43" s="32">
        <f t="shared" si="3"/>
        <v>1.2009204006402678E-4</v>
      </c>
      <c r="AH43" s="32">
        <f t="shared" si="3"/>
        <v>3.4234729389226871E-4</v>
      </c>
      <c r="AI43" s="32">
        <f t="shared" si="3"/>
        <v>1.1518049777271004E-3</v>
      </c>
      <c r="AJ43" s="32">
        <f t="shared" si="3"/>
        <v>5.2085541712828167E-3</v>
      </c>
      <c r="AK43" s="33">
        <f t="shared" si="2"/>
        <v>1.8016340972973438E-4</v>
      </c>
    </row>
    <row r="44" spans="1:37" x14ac:dyDescent="0.3">
      <c r="A44" t="s">
        <v>43</v>
      </c>
      <c r="B44" s="1">
        <v>2014</v>
      </c>
      <c r="C44" s="1" t="str">
        <f t="shared" si="0"/>
        <v>California, 2014</v>
      </c>
      <c r="D44" s="27">
        <v>115</v>
      </c>
      <c r="E44" s="27">
        <v>50</v>
      </c>
      <c r="F44" s="27">
        <v>49</v>
      </c>
      <c r="G44" s="27">
        <v>68</v>
      </c>
      <c r="H44" s="27">
        <v>131</v>
      </c>
      <c r="I44" s="27">
        <v>265</v>
      </c>
      <c r="J44" s="27">
        <v>589</v>
      </c>
      <c r="K44" s="27">
        <v>800</v>
      </c>
      <c r="L44" s="27">
        <v>1450</v>
      </c>
      <c r="M44" s="27">
        <v>2638</v>
      </c>
      <c r="N44" s="27">
        <v>60</v>
      </c>
      <c r="O44" s="28">
        <v>6215</v>
      </c>
      <c r="P44" s="29">
        <v>2525711.7550000013</v>
      </c>
      <c r="Q44" s="30">
        <v>5072783.4860000005</v>
      </c>
      <c r="R44" s="30">
        <v>5593696.7299999977</v>
      </c>
      <c r="S44" s="30">
        <v>5511002.4749999996</v>
      </c>
      <c r="T44" s="30">
        <v>5166181.3219999988</v>
      </c>
      <c r="U44" s="30">
        <v>5237743.2970000021</v>
      </c>
      <c r="V44" s="30">
        <v>4303922.5349999992</v>
      </c>
      <c r="W44" s="30">
        <v>2544728.0850000004</v>
      </c>
      <c r="X44" s="30">
        <v>1413003.1219999993</v>
      </c>
      <c r="Y44" s="30">
        <v>650921.09599999979</v>
      </c>
      <c r="Z44" s="31">
        <v>38025535</v>
      </c>
      <c r="AA44" s="32">
        <f t="shared" si="4"/>
        <v>4.5531719830000926E-5</v>
      </c>
      <c r="AB44" s="32">
        <f t="shared" si="4"/>
        <v>9.8565215996289403E-6</v>
      </c>
      <c r="AC44" s="32">
        <f t="shared" si="4"/>
        <v>8.7598599575847976E-6</v>
      </c>
      <c r="AD44" s="32">
        <f t="shared" si="4"/>
        <v>1.2338952905296963E-5</v>
      </c>
      <c r="AE44" s="32">
        <f t="shared" si="4"/>
        <v>2.5357220708096555E-5</v>
      </c>
      <c r="AF44" s="32">
        <f t="shared" si="3"/>
        <v>5.0594308459481553E-5</v>
      </c>
      <c r="AG44" s="32">
        <f t="shared" si="3"/>
        <v>1.368519054909059E-4</v>
      </c>
      <c r="AH44" s="32">
        <f t="shared" si="3"/>
        <v>3.143754355192727E-4</v>
      </c>
      <c r="AI44" s="32">
        <f t="shared" si="3"/>
        <v>1.0261831537552687E-3</v>
      </c>
      <c r="AJ44" s="32">
        <f t="shared" si="3"/>
        <v>4.0527185494691675E-3</v>
      </c>
      <c r="AK44" s="33">
        <f t="shared" si="2"/>
        <v>1.6344280231691679E-4</v>
      </c>
    </row>
    <row r="45" spans="1:37" x14ac:dyDescent="0.3">
      <c r="A45" t="s">
        <v>43</v>
      </c>
      <c r="B45" s="1">
        <v>2015</v>
      </c>
      <c r="C45" s="1" t="str">
        <f t="shared" si="0"/>
        <v>California, 2015</v>
      </c>
      <c r="D45" s="27">
        <v>109</v>
      </c>
      <c r="E45" s="27">
        <v>54</v>
      </c>
      <c r="F45" s="27">
        <v>57</v>
      </c>
      <c r="G45" s="27">
        <v>52</v>
      </c>
      <c r="H45" s="27">
        <v>76</v>
      </c>
      <c r="I45" s="27">
        <v>165</v>
      </c>
      <c r="J45" s="27">
        <v>441</v>
      </c>
      <c r="K45" s="27">
        <v>869</v>
      </c>
      <c r="L45" s="27">
        <v>1537</v>
      </c>
      <c r="M45" s="27">
        <v>3017</v>
      </c>
      <c r="N45" s="27">
        <v>37</v>
      </c>
      <c r="O45" s="28">
        <v>6414</v>
      </c>
      <c r="P45" s="29">
        <v>2509442.2050000001</v>
      </c>
      <c r="Q45" s="30">
        <v>5063933.3130000001</v>
      </c>
      <c r="R45" s="30">
        <v>5570401.6679999987</v>
      </c>
      <c r="S45" s="30">
        <v>5609526.4399999985</v>
      </c>
      <c r="T45" s="30">
        <v>5172359.620000001</v>
      </c>
      <c r="U45" s="30">
        <v>5242072.3209999977</v>
      </c>
      <c r="V45" s="30">
        <v>4415975.1000000006</v>
      </c>
      <c r="W45" s="30">
        <v>2681767.5580000002</v>
      </c>
      <c r="X45" s="30">
        <v>1442121.1350000002</v>
      </c>
      <c r="Y45" s="30">
        <v>659943.94100000011</v>
      </c>
      <c r="Z45" s="31">
        <v>38394073</v>
      </c>
      <c r="AA45" s="32">
        <f t="shared" si="4"/>
        <v>4.3435947551539646E-5</v>
      </c>
      <c r="AB45" s="32">
        <f t="shared" si="4"/>
        <v>1.066364753686084E-5</v>
      </c>
      <c r="AC45" s="32">
        <f t="shared" si="4"/>
        <v>1.0232655272858506E-5</v>
      </c>
      <c r="AD45" s="32">
        <f t="shared" si="4"/>
        <v>9.2699447192551281E-6</v>
      </c>
      <c r="AE45" s="32">
        <f t="shared" si="4"/>
        <v>1.4693487225081999E-5</v>
      </c>
      <c r="AF45" s="32">
        <f t="shared" si="3"/>
        <v>3.14761014148931E-5</v>
      </c>
      <c r="AG45" s="32">
        <f t="shared" si="3"/>
        <v>9.9864693530540957E-5</v>
      </c>
      <c r="AH45" s="32">
        <f t="shared" si="3"/>
        <v>3.2404001510409798E-4</v>
      </c>
      <c r="AI45" s="32">
        <f t="shared" si="3"/>
        <v>1.0657911895868579E-3</v>
      </c>
      <c r="AJ45" s="32">
        <f t="shared" si="3"/>
        <v>4.5716004232547371E-3</v>
      </c>
      <c r="AK45" s="33">
        <f t="shared" si="2"/>
        <v>1.6705703507934676E-4</v>
      </c>
    </row>
    <row r="46" spans="1:37" x14ac:dyDescent="0.3">
      <c r="A46" t="s">
        <v>43</v>
      </c>
      <c r="B46" s="1">
        <v>2016</v>
      </c>
      <c r="C46" s="1" t="str">
        <f t="shared" si="0"/>
        <v>California, 2016</v>
      </c>
      <c r="D46" s="27">
        <v>104</v>
      </c>
      <c r="E46" s="27">
        <v>43</v>
      </c>
      <c r="F46" s="27">
        <v>41</v>
      </c>
      <c r="G46" s="27">
        <v>40</v>
      </c>
      <c r="H46" s="27">
        <v>91</v>
      </c>
      <c r="I46" s="27">
        <v>192</v>
      </c>
      <c r="J46" s="27">
        <v>511</v>
      </c>
      <c r="K46" s="27">
        <v>921</v>
      </c>
      <c r="L46" s="27">
        <v>1439</v>
      </c>
      <c r="M46" s="27">
        <v>2725</v>
      </c>
      <c r="N46" s="27">
        <v>36</v>
      </c>
      <c r="O46" s="28">
        <v>6143</v>
      </c>
      <c r="P46" s="29">
        <v>2491568.5429999996</v>
      </c>
      <c r="Q46" s="30">
        <v>5063202.8109999998</v>
      </c>
      <c r="R46" s="30">
        <v>5492417.2530000005</v>
      </c>
      <c r="S46" s="30">
        <v>5695400.1279999996</v>
      </c>
      <c r="T46" s="30">
        <v>5149582.2049999991</v>
      </c>
      <c r="U46" s="30">
        <v>5198055.818</v>
      </c>
      <c r="V46" s="30">
        <v>4497504.3789999988</v>
      </c>
      <c r="W46" s="30">
        <v>2816548.0150000011</v>
      </c>
      <c r="X46" s="30">
        <v>1478933.4249999998</v>
      </c>
      <c r="Y46" s="30">
        <v>673936.23899999983</v>
      </c>
      <c r="Z46" s="31">
        <v>38553251</v>
      </c>
      <c r="AA46" s="32">
        <f t="shared" si="4"/>
        <v>4.1740774217183565E-5</v>
      </c>
      <c r="AB46" s="32">
        <f t="shared" si="4"/>
        <v>8.4926481527820435E-6</v>
      </c>
      <c r="AC46" s="32">
        <f t="shared" si="4"/>
        <v>7.4648370856393852E-6</v>
      </c>
      <c r="AD46" s="32">
        <f t="shared" si="4"/>
        <v>7.0232115568755355E-6</v>
      </c>
      <c r="AE46" s="32">
        <f t="shared" si="4"/>
        <v>1.7671336504084414E-5</v>
      </c>
      <c r="AF46" s="32">
        <f t="shared" si="3"/>
        <v>3.6936886928981417E-5</v>
      </c>
      <c r="AG46" s="32">
        <f t="shared" si="3"/>
        <v>1.1361856641785387E-4</v>
      </c>
      <c r="AH46" s="32">
        <f t="shared" si="3"/>
        <v>3.2699602317981421E-4</v>
      </c>
      <c r="AI46" s="32">
        <f t="shared" si="3"/>
        <v>9.7299849721092086E-4</v>
      </c>
      <c r="AJ46" s="32">
        <f t="shared" si="3"/>
        <v>4.0434092163427948E-3</v>
      </c>
      <c r="AK46" s="33">
        <f t="shared" si="2"/>
        <v>1.5933805426681137E-4</v>
      </c>
    </row>
    <row r="47" spans="1:37" x14ac:dyDescent="0.3">
      <c r="A47" t="s">
        <v>43</v>
      </c>
      <c r="B47" s="1">
        <v>2017</v>
      </c>
      <c r="C47" s="1" t="str">
        <f t="shared" si="0"/>
        <v>California, 2017</v>
      </c>
      <c r="D47" s="27">
        <v>97</v>
      </c>
      <c r="E47" s="27">
        <v>52</v>
      </c>
      <c r="F47" s="27">
        <v>48</v>
      </c>
      <c r="G47" s="27">
        <v>58</v>
      </c>
      <c r="H47" s="27">
        <v>61</v>
      </c>
      <c r="I47" s="27">
        <v>160</v>
      </c>
      <c r="J47" s="27">
        <v>503</v>
      </c>
      <c r="K47" s="27">
        <v>930</v>
      </c>
      <c r="L47" s="27">
        <v>1595</v>
      </c>
      <c r="M47" s="27">
        <v>2985</v>
      </c>
      <c r="N47" s="27">
        <v>54</v>
      </c>
      <c r="O47" s="28">
        <v>6543</v>
      </c>
      <c r="P47" s="29">
        <v>2465519</v>
      </c>
      <c r="Q47" s="30">
        <v>5016041</v>
      </c>
      <c r="R47" s="30">
        <v>5381209</v>
      </c>
      <c r="S47" s="30">
        <v>5761977</v>
      </c>
      <c r="T47" s="30">
        <v>5127910</v>
      </c>
      <c r="U47" s="30">
        <v>5147469</v>
      </c>
      <c r="V47" s="30">
        <v>4542346</v>
      </c>
      <c r="W47" s="30">
        <v>2908628</v>
      </c>
      <c r="X47" s="30">
        <v>1487243</v>
      </c>
      <c r="Y47" s="30">
        <v>680915</v>
      </c>
      <c r="Z47" s="31">
        <v>38519257</v>
      </c>
      <c r="AA47" s="32">
        <f t="shared" si="4"/>
        <v>3.9342629280082609E-5</v>
      </c>
      <c r="AB47" s="32">
        <f t="shared" si="4"/>
        <v>1.0366741420175792E-5</v>
      </c>
      <c r="AC47" s="32">
        <f t="shared" si="4"/>
        <v>8.9199285885383757E-6</v>
      </c>
      <c r="AD47" s="32">
        <f t="shared" si="4"/>
        <v>1.0065989503255567E-5</v>
      </c>
      <c r="AE47" s="32">
        <f t="shared" si="4"/>
        <v>1.1895684596648537E-5</v>
      </c>
      <c r="AF47" s="32">
        <f t="shared" si="3"/>
        <v>3.1083237218135746E-5</v>
      </c>
      <c r="AG47" s="32">
        <f t="shared" si="3"/>
        <v>1.1073572995099889E-4</v>
      </c>
      <c r="AH47" s="32">
        <f t="shared" si="3"/>
        <v>3.1973837836945802E-4</v>
      </c>
      <c r="AI47" s="32">
        <f t="shared" si="3"/>
        <v>1.072454198809475E-3</v>
      </c>
      <c r="AJ47" s="32">
        <f t="shared" si="3"/>
        <v>4.3838070831161008E-3</v>
      </c>
      <c r="AK47" s="33">
        <f t="shared" si="2"/>
        <v>1.6986308951909431E-4</v>
      </c>
    </row>
    <row r="48" spans="1:37" x14ac:dyDescent="0.3">
      <c r="A48" t="s">
        <v>44</v>
      </c>
      <c r="B48" s="1">
        <v>2009</v>
      </c>
      <c r="C48" s="1" t="str">
        <f t="shared" si="0"/>
        <v>Colorado, 2009</v>
      </c>
      <c r="D48" s="27">
        <v>125</v>
      </c>
      <c r="E48" s="27">
        <v>66</v>
      </c>
      <c r="F48" s="27">
        <v>57</v>
      </c>
      <c r="G48" s="27">
        <v>72</v>
      </c>
      <c r="H48" s="27">
        <v>64</v>
      </c>
      <c r="I48" s="27">
        <v>48</v>
      </c>
      <c r="J48" s="27">
        <v>70</v>
      </c>
      <c r="K48" s="27">
        <v>51</v>
      </c>
      <c r="L48" s="27">
        <v>148</v>
      </c>
      <c r="M48" s="27">
        <v>266</v>
      </c>
      <c r="N48" s="27">
        <v>34</v>
      </c>
      <c r="O48" s="28">
        <v>1001</v>
      </c>
      <c r="P48" s="29">
        <v>352170.75300000014</v>
      </c>
      <c r="Q48" s="30">
        <v>645227.84299999999</v>
      </c>
      <c r="R48" s="30">
        <v>688483.64600000018</v>
      </c>
      <c r="S48" s="30">
        <v>699274.66000000027</v>
      </c>
      <c r="T48" s="30">
        <v>711011.37500000012</v>
      </c>
      <c r="U48" s="30">
        <v>727045.60599999991</v>
      </c>
      <c r="V48" s="30">
        <v>519046.69200000016</v>
      </c>
      <c r="W48" s="30">
        <v>269309.02100000007</v>
      </c>
      <c r="X48" s="30">
        <v>164052.90499999997</v>
      </c>
      <c r="Y48" s="30">
        <v>63253.125000000015</v>
      </c>
      <c r="Z48" s="31">
        <v>4843211</v>
      </c>
      <c r="AA48" s="32">
        <f t="shared" si="4"/>
        <v>3.5494145648148114E-4</v>
      </c>
      <c r="AB48" s="32">
        <f t="shared" si="4"/>
        <v>1.0228944816319714E-4</v>
      </c>
      <c r="AC48" s="32">
        <f t="shared" si="4"/>
        <v>8.2790637557133767E-5</v>
      </c>
      <c r="AD48" s="32">
        <f t="shared" si="4"/>
        <v>1.0296383398191488E-4</v>
      </c>
      <c r="AE48" s="32">
        <f t="shared" si="4"/>
        <v>9.0012624622215067E-5</v>
      </c>
      <c r="AF48" s="32">
        <f t="shared" si="3"/>
        <v>6.6020617694235816E-5</v>
      </c>
      <c r="AG48" s="32">
        <f t="shared" si="3"/>
        <v>1.3486262619317489E-4</v>
      </c>
      <c r="AH48" s="32">
        <f t="shared" si="3"/>
        <v>1.8937353012025537E-4</v>
      </c>
      <c r="AI48" s="32">
        <f t="shared" si="3"/>
        <v>9.0214799914698266E-4</v>
      </c>
      <c r="AJ48" s="32">
        <f t="shared" si="3"/>
        <v>4.2053258238229328E-3</v>
      </c>
      <c r="AK48" s="33">
        <f t="shared" si="2"/>
        <v>2.0668106345149943E-4</v>
      </c>
    </row>
    <row r="49" spans="1:37" x14ac:dyDescent="0.3">
      <c r="A49" t="s">
        <v>44</v>
      </c>
      <c r="B49" s="1">
        <v>2010</v>
      </c>
      <c r="C49" s="1" t="str">
        <f t="shared" si="0"/>
        <v>Colorado, 2010</v>
      </c>
      <c r="D49" s="27">
        <v>90</v>
      </c>
      <c r="E49" s="27">
        <v>62</v>
      </c>
      <c r="F49" s="27">
        <v>59</v>
      </c>
      <c r="G49" s="27">
        <v>60</v>
      </c>
      <c r="H49" s="27">
        <v>65</v>
      </c>
      <c r="I49" s="27">
        <v>56</v>
      </c>
      <c r="J49" s="27">
        <v>36</v>
      </c>
      <c r="K49" s="27">
        <v>61</v>
      </c>
      <c r="L49" s="27">
        <v>131</v>
      </c>
      <c r="M49" s="27">
        <v>260</v>
      </c>
      <c r="N49" s="27">
        <v>58</v>
      </c>
      <c r="O49" s="28">
        <v>938</v>
      </c>
      <c r="P49" s="29">
        <v>337468.978</v>
      </c>
      <c r="Q49" s="30">
        <v>654505.17699999991</v>
      </c>
      <c r="R49" s="30">
        <v>680999.09199999995</v>
      </c>
      <c r="S49" s="30">
        <v>696499.14299999981</v>
      </c>
      <c r="T49" s="30">
        <v>697768.24799999979</v>
      </c>
      <c r="U49" s="30">
        <v>724264.21400000004</v>
      </c>
      <c r="V49" s="30">
        <v>544392.12300000002</v>
      </c>
      <c r="W49" s="30">
        <v>279423.6370000001</v>
      </c>
      <c r="X49" s="30">
        <v>164547.44699999996</v>
      </c>
      <c r="Y49" s="30">
        <v>65537.263999999996</v>
      </c>
      <c r="Z49" s="31">
        <v>4846647</v>
      </c>
      <c r="AA49" s="32">
        <f t="shared" si="4"/>
        <v>2.6669118012974808E-4</v>
      </c>
      <c r="AB49" s="32">
        <f t="shared" si="4"/>
        <v>9.4728051326017253E-5</v>
      </c>
      <c r="AC49" s="32">
        <f t="shared" si="4"/>
        <v>8.6637413607594074E-5</v>
      </c>
      <c r="AD49" s="32">
        <f t="shared" si="4"/>
        <v>8.6145116764343267E-5</v>
      </c>
      <c r="AE49" s="32">
        <f t="shared" si="4"/>
        <v>9.3154138478367712E-5</v>
      </c>
      <c r="AF49" s="32">
        <f t="shared" si="3"/>
        <v>7.7319849465874618E-5</v>
      </c>
      <c r="AG49" s="32">
        <f t="shared" si="3"/>
        <v>6.6128803998143074E-5</v>
      </c>
      <c r="AH49" s="32">
        <f t="shared" si="3"/>
        <v>2.1830651356098403E-4</v>
      </c>
      <c r="AI49" s="32">
        <f t="shared" si="3"/>
        <v>7.9612295655975775E-4</v>
      </c>
      <c r="AJ49" s="32">
        <f t="shared" si="3"/>
        <v>3.9672086402630421E-3</v>
      </c>
      <c r="AK49" s="33">
        <f t="shared" si="2"/>
        <v>1.9353586097770273E-4</v>
      </c>
    </row>
    <row r="50" spans="1:37" x14ac:dyDescent="0.3">
      <c r="A50" t="s">
        <v>44</v>
      </c>
      <c r="B50" s="1">
        <v>2011</v>
      </c>
      <c r="C50" s="1" t="str">
        <f t="shared" si="0"/>
        <v>Colorado, 2011</v>
      </c>
      <c r="D50" s="27">
        <v>97</v>
      </c>
      <c r="E50" s="27">
        <v>68</v>
      </c>
      <c r="F50" s="27">
        <v>57</v>
      </c>
      <c r="G50" s="27">
        <v>57</v>
      </c>
      <c r="H50" s="27">
        <v>53</v>
      </c>
      <c r="I50" s="27">
        <v>51</v>
      </c>
      <c r="J50" s="27">
        <v>32</v>
      </c>
      <c r="K50" s="27">
        <v>64</v>
      </c>
      <c r="L50" s="27">
        <v>131</v>
      </c>
      <c r="M50" s="27">
        <v>272</v>
      </c>
      <c r="N50" s="27">
        <v>48</v>
      </c>
      <c r="O50" s="28">
        <v>930</v>
      </c>
      <c r="P50" s="29">
        <v>341545.84899999975</v>
      </c>
      <c r="Q50" s="30">
        <v>667313.81500000006</v>
      </c>
      <c r="R50" s="30">
        <v>689463.07400000002</v>
      </c>
      <c r="S50" s="30">
        <v>712221.69499999995</v>
      </c>
      <c r="T50" s="30">
        <v>700378.36399999971</v>
      </c>
      <c r="U50" s="30">
        <v>730236.97100000014</v>
      </c>
      <c r="V50" s="30">
        <v>568540.8879999998</v>
      </c>
      <c r="W50" s="30">
        <v>294666.57200000004</v>
      </c>
      <c r="X50" s="30">
        <v>166569.52199999988</v>
      </c>
      <c r="Y50" s="30">
        <v>67828.78899999999</v>
      </c>
      <c r="Z50" s="31">
        <v>4941253</v>
      </c>
      <c r="AA50" s="32">
        <f t="shared" si="4"/>
        <v>2.8400286603980969E-4</v>
      </c>
      <c r="AB50" s="32">
        <f t="shared" si="4"/>
        <v>1.019010823266112E-4</v>
      </c>
      <c r="AC50" s="32">
        <f t="shared" si="4"/>
        <v>8.26730279684275E-5</v>
      </c>
      <c r="AD50" s="32">
        <f t="shared" si="4"/>
        <v>8.0031260491159289E-5</v>
      </c>
      <c r="AE50" s="32">
        <f t="shared" si="4"/>
        <v>7.5673382737448497E-5</v>
      </c>
      <c r="AF50" s="32">
        <f t="shared" si="3"/>
        <v>6.9840342279793981E-5</v>
      </c>
      <c r="AG50" s="32">
        <f t="shared" si="3"/>
        <v>5.6284430329309952E-5</v>
      </c>
      <c r="AH50" s="32">
        <f t="shared" si="3"/>
        <v>2.1719463991321008E-4</v>
      </c>
      <c r="AI50" s="32">
        <f t="shared" si="3"/>
        <v>7.8645840143552845E-4</v>
      </c>
      <c r="AJ50" s="32">
        <f t="shared" si="3"/>
        <v>4.0100966567455602E-3</v>
      </c>
      <c r="AK50" s="33">
        <f t="shared" si="2"/>
        <v>1.8821137067865176E-4</v>
      </c>
    </row>
    <row r="51" spans="1:37" x14ac:dyDescent="0.3">
      <c r="A51" t="s">
        <v>44</v>
      </c>
      <c r="B51" s="1">
        <v>2012</v>
      </c>
      <c r="C51" s="1" t="str">
        <f t="shared" si="0"/>
        <v>Colorado, 2012</v>
      </c>
      <c r="D51" s="27">
        <v>112</v>
      </c>
      <c r="E51" s="27">
        <v>66</v>
      </c>
      <c r="F51" s="27">
        <v>45</v>
      </c>
      <c r="G51" s="27">
        <v>58</v>
      </c>
      <c r="H51" s="27">
        <v>42</v>
      </c>
      <c r="I51" s="27">
        <v>43</v>
      </c>
      <c r="J51" s="27">
        <v>60</v>
      </c>
      <c r="K51" s="27">
        <v>72</v>
      </c>
      <c r="L51" s="27">
        <v>127</v>
      </c>
      <c r="M51" s="27">
        <v>254</v>
      </c>
      <c r="N51" s="27">
        <v>62</v>
      </c>
      <c r="O51" s="28">
        <v>941</v>
      </c>
      <c r="P51" s="29">
        <v>332802.29600000003</v>
      </c>
      <c r="Q51" s="30">
        <v>664983.42799999972</v>
      </c>
      <c r="R51" s="30">
        <v>678120.59800000011</v>
      </c>
      <c r="S51" s="30">
        <v>712863.48</v>
      </c>
      <c r="T51" s="30">
        <v>684960.40899999987</v>
      </c>
      <c r="U51" s="30">
        <v>714950.77400000009</v>
      </c>
      <c r="V51" s="30">
        <v>582616.44900000026</v>
      </c>
      <c r="W51" s="30">
        <v>308424.90600000002</v>
      </c>
      <c r="X51" s="30">
        <v>168122.85099999994</v>
      </c>
      <c r="Y51" s="30">
        <v>70758.767999999996</v>
      </c>
      <c r="Z51" s="31">
        <v>4917237</v>
      </c>
      <c r="AA51" s="32">
        <f t="shared" si="4"/>
        <v>3.3653613976268961E-4</v>
      </c>
      <c r="AB51" s="32">
        <f t="shared" si="4"/>
        <v>9.9250593655395621E-5</v>
      </c>
      <c r="AC51" s="32">
        <f t="shared" si="4"/>
        <v>6.6359877775014871E-5</v>
      </c>
      <c r="AD51" s="32">
        <f t="shared" si="4"/>
        <v>8.1362002160638108E-5</v>
      </c>
      <c r="AE51" s="32">
        <f t="shared" si="4"/>
        <v>6.1317412580556914E-5</v>
      </c>
      <c r="AF51" s="32">
        <f t="shared" si="3"/>
        <v>6.0144000907116991E-5</v>
      </c>
      <c r="AG51" s="32">
        <f t="shared" si="3"/>
        <v>1.0298370412126825E-4</v>
      </c>
      <c r="AH51" s="32">
        <f t="shared" si="3"/>
        <v>2.334441823579578E-4</v>
      </c>
      <c r="AI51" s="32">
        <f t="shared" si="3"/>
        <v>7.5539999021310934E-4</v>
      </c>
      <c r="AJ51" s="32">
        <f t="shared" si="3"/>
        <v>3.5896611427717342E-3</v>
      </c>
      <c r="AK51" s="33">
        <f t="shared" si="2"/>
        <v>1.9136763186317844E-4</v>
      </c>
    </row>
    <row r="52" spans="1:37" x14ac:dyDescent="0.3">
      <c r="A52" t="s">
        <v>44</v>
      </c>
      <c r="B52" s="1">
        <v>2013</v>
      </c>
      <c r="C52" s="1" t="str">
        <f t="shared" si="0"/>
        <v>Colorado, 2013</v>
      </c>
      <c r="D52" s="27">
        <v>117</v>
      </c>
      <c r="E52" s="27">
        <v>45</v>
      </c>
      <c r="F52" s="27">
        <v>53</v>
      </c>
      <c r="G52" s="27">
        <v>44</v>
      </c>
      <c r="H52" s="27">
        <v>58</v>
      </c>
      <c r="I52" s="27">
        <v>78</v>
      </c>
      <c r="J52" s="27">
        <v>69</v>
      </c>
      <c r="K52" s="27">
        <v>50</v>
      </c>
      <c r="L52" s="27">
        <v>110</v>
      </c>
      <c r="M52" s="27">
        <v>280</v>
      </c>
      <c r="N52" s="27">
        <v>58</v>
      </c>
      <c r="O52" s="28">
        <v>962</v>
      </c>
      <c r="P52" s="29">
        <v>337374.09899999987</v>
      </c>
      <c r="Q52" s="30">
        <v>683839.92599999998</v>
      </c>
      <c r="R52" s="30">
        <v>693880.62100000016</v>
      </c>
      <c r="S52" s="30">
        <v>738715.44800000021</v>
      </c>
      <c r="T52" s="30">
        <v>697731.8119999998</v>
      </c>
      <c r="U52" s="30">
        <v>724028.69799999963</v>
      </c>
      <c r="V52" s="30">
        <v>612185.52100000007</v>
      </c>
      <c r="W52" s="30">
        <v>332787.92099999986</v>
      </c>
      <c r="X52" s="30">
        <v>172130.92400000006</v>
      </c>
      <c r="Y52" s="30">
        <v>72393.111000000004</v>
      </c>
      <c r="Z52" s="31">
        <v>5066348</v>
      </c>
      <c r="AA52" s="32">
        <f t="shared" si="4"/>
        <v>3.4679603545973472E-4</v>
      </c>
      <c r="AB52" s="32">
        <f t="shared" si="4"/>
        <v>6.5804873756376722E-5</v>
      </c>
      <c r="AC52" s="32">
        <f t="shared" si="4"/>
        <v>7.638201499793722E-5</v>
      </c>
      <c r="AD52" s="32">
        <f t="shared" si="4"/>
        <v>5.9562853489967885E-5</v>
      </c>
      <c r="AE52" s="32">
        <f t="shared" si="4"/>
        <v>8.3126495026430034E-5</v>
      </c>
      <c r="AF52" s="32">
        <f t="shared" si="3"/>
        <v>1.0773053639373841E-4</v>
      </c>
      <c r="AG52" s="32">
        <f t="shared" si="3"/>
        <v>1.1271093097283494E-4</v>
      </c>
      <c r="AH52" s="32">
        <f t="shared" si="3"/>
        <v>1.5024583779890262E-4</v>
      </c>
      <c r="AI52" s="32">
        <f t="shared" si="3"/>
        <v>6.3904844895853791E-4</v>
      </c>
      <c r="AJ52" s="32">
        <f t="shared" si="3"/>
        <v>3.8677713408393237E-3</v>
      </c>
      <c r="AK52" s="33">
        <f t="shared" si="2"/>
        <v>1.8988036352812716E-4</v>
      </c>
    </row>
    <row r="53" spans="1:37" x14ac:dyDescent="0.3">
      <c r="A53" t="s">
        <v>44</v>
      </c>
      <c r="B53" s="1">
        <v>2014</v>
      </c>
      <c r="C53" s="1" t="str">
        <f t="shared" si="0"/>
        <v>Colorado, 2014</v>
      </c>
      <c r="D53" s="27">
        <v>107</v>
      </c>
      <c r="E53" s="27">
        <v>62</v>
      </c>
      <c r="F53" s="27">
        <v>48</v>
      </c>
      <c r="G53" s="27">
        <v>63</v>
      </c>
      <c r="H53" s="27">
        <v>50</v>
      </c>
      <c r="I53" s="27">
        <v>48</v>
      </c>
      <c r="J53" s="27">
        <v>73</v>
      </c>
      <c r="K53" s="27">
        <v>85</v>
      </c>
      <c r="L53" s="27">
        <v>129</v>
      </c>
      <c r="M53" s="27">
        <v>286</v>
      </c>
      <c r="N53" s="27">
        <v>45</v>
      </c>
      <c r="O53" s="28">
        <v>996</v>
      </c>
      <c r="P53" s="29">
        <v>328102.22200000007</v>
      </c>
      <c r="Q53" s="30">
        <v>679146.39399999985</v>
      </c>
      <c r="R53" s="30">
        <v>688941.35400000005</v>
      </c>
      <c r="S53" s="30">
        <v>744465.89399999997</v>
      </c>
      <c r="T53" s="30">
        <v>692081.69799999997</v>
      </c>
      <c r="U53" s="30">
        <v>701218.20900000015</v>
      </c>
      <c r="V53" s="30">
        <v>614739.47499999986</v>
      </c>
      <c r="W53" s="30">
        <v>343049.84200000006</v>
      </c>
      <c r="X53" s="30">
        <v>171338.89500000002</v>
      </c>
      <c r="Y53" s="30">
        <v>73196.214000000007</v>
      </c>
      <c r="Z53" s="31">
        <v>5038267</v>
      </c>
      <c r="AA53" s="32">
        <f t="shared" si="4"/>
        <v>3.2611787676341909E-4</v>
      </c>
      <c r="AB53" s="32">
        <f t="shared" si="4"/>
        <v>9.1291068535070526E-5</v>
      </c>
      <c r="AC53" s="32">
        <f t="shared" si="4"/>
        <v>6.9672113194122471E-5</v>
      </c>
      <c r="AD53" s="32">
        <f t="shared" si="4"/>
        <v>8.4624427401908632E-5</v>
      </c>
      <c r="AE53" s="32">
        <f t="shared" si="4"/>
        <v>7.2245805870161886E-5</v>
      </c>
      <c r="AF53" s="32">
        <f t="shared" si="3"/>
        <v>6.8452301129561785E-5</v>
      </c>
      <c r="AG53" s="32">
        <f t="shared" si="3"/>
        <v>1.187494914004018E-4</v>
      </c>
      <c r="AH53" s="32">
        <f t="shared" si="3"/>
        <v>2.4777740605984593E-4</v>
      </c>
      <c r="AI53" s="32">
        <f t="shared" si="3"/>
        <v>7.5289384818315764E-4</v>
      </c>
      <c r="AJ53" s="32">
        <f t="shared" si="3"/>
        <v>3.9073059161229291E-3</v>
      </c>
      <c r="AK53" s="33">
        <f t="shared" si="2"/>
        <v>1.9768702214471761E-4</v>
      </c>
    </row>
    <row r="54" spans="1:37" x14ac:dyDescent="0.3">
      <c r="A54" t="s">
        <v>44</v>
      </c>
      <c r="B54" s="1">
        <v>2015</v>
      </c>
      <c r="C54" s="1" t="str">
        <f t="shared" si="0"/>
        <v>Colorado, 2015</v>
      </c>
      <c r="D54" s="27">
        <v>102</v>
      </c>
      <c r="E54" s="27">
        <v>35</v>
      </c>
      <c r="F54" s="27">
        <v>46</v>
      </c>
      <c r="G54" s="27">
        <v>60</v>
      </c>
      <c r="H54" s="27">
        <v>58</v>
      </c>
      <c r="I54" s="27">
        <v>50</v>
      </c>
      <c r="J54" s="27">
        <v>59</v>
      </c>
      <c r="K54" s="27">
        <v>73</v>
      </c>
      <c r="L54" s="27">
        <v>150</v>
      </c>
      <c r="M54" s="27">
        <v>311</v>
      </c>
      <c r="N54" s="27">
        <v>40</v>
      </c>
      <c r="O54" s="28">
        <v>984</v>
      </c>
      <c r="P54" s="29">
        <v>332596.68900000001</v>
      </c>
      <c r="Q54" s="30">
        <v>696270.44500000053</v>
      </c>
      <c r="R54" s="30">
        <v>692351.97699999961</v>
      </c>
      <c r="S54" s="30">
        <v>765697.94000000006</v>
      </c>
      <c r="T54" s="30">
        <v>706668.62799999979</v>
      </c>
      <c r="U54" s="30">
        <v>703916.36400000018</v>
      </c>
      <c r="V54" s="30">
        <v>624010.24199999985</v>
      </c>
      <c r="W54" s="30">
        <v>364742.23300000018</v>
      </c>
      <c r="X54" s="30">
        <v>177603.22</v>
      </c>
      <c r="Y54" s="30">
        <v>73285.862999999998</v>
      </c>
      <c r="Z54" s="31">
        <v>5137271</v>
      </c>
      <c r="AA54" s="32">
        <f t="shared" si="4"/>
        <v>3.0667773725191831E-4</v>
      </c>
      <c r="AB54" s="32">
        <f t="shared" si="4"/>
        <v>5.0267823733348288E-5</v>
      </c>
      <c r="AC54" s="32">
        <f t="shared" si="4"/>
        <v>6.6440194479288719E-5</v>
      </c>
      <c r="AD54" s="32">
        <f t="shared" si="4"/>
        <v>7.8359881704788173E-5</v>
      </c>
      <c r="AE54" s="32">
        <f t="shared" si="4"/>
        <v>8.2075243900596676E-5</v>
      </c>
      <c r="AF54" s="32">
        <f t="shared" si="3"/>
        <v>7.1031165855948175E-5</v>
      </c>
      <c r="AG54" s="32">
        <f t="shared" si="3"/>
        <v>9.4549730162922575E-5</v>
      </c>
      <c r="AH54" s="32">
        <f t="shared" si="3"/>
        <v>2.0014134200905647E-4</v>
      </c>
      <c r="AI54" s="32">
        <f t="shared" si="3"/>
        <v>8.4457928183959727E-4</v>
      </c>
      <c r="AJ54" s="32">
        <f t="shared" si="3"/>
        <v>4.2436561059532038E-3</v>
      </c>
      <c r="AK54" s="33">
        <f t="shared" si="2"/>
        <v>1.9154138452108133E-4</v>
      </c>
    </row>
    <row r="55" spans="1:37" x14ac:dyDescent="0.3">
      <c r="A55" t="s">
        <v>44</v>
      </c>
      <c r="B55" s="1">
        <v>2016</v>
      </c>
      <c r="C55" s="1" t="str">
        <f t="shared" si="0"/>
        <v>Colorado, 2016</v>
      </c>
      <c r="D55" s="27">
        <v>112</v>
      </c>
      <c r="E55" s="27">
        <v>55</v>
      </c>
      <c r="F55" s="27">
        <v>45</v>
      </c>
      <c r="G55" s="27">
        <v>44</v>
      </c>
      <c r="H55" s="27">
        <v>42</v>
      </c>
      <c r="I55" s="27">
        <v>46</v>
      </c>
      <c r="J55" s="27">
        <v>45</v>
      </c>
      <c r="K55" s="27">
        <v>60</v>
      </c>
      <c r="L55" s="27">
        <v>106</v>
      </c>
      <c r="M55" s="27">
        <v>222</v>
      </c>
      <c r="N55" s="27">
        <v>59</v>
      </c>
      <c r="O55" s="28">
        <v>836</v>
      </c>
      <c r="P55" s="29">
        <v>328235.0689999999</v>
      </c>
      <c r="Q55" s="30">
        <v>690943.51599999983</v>
      </c>
      <c r="R55" s="30">
        <v>706866.04599999997</v>
      </c>
      <c r="S55" s="30">
        <v>780102.25900000043</v>
      </c>
      <c r="T55" s="30">
        <v>708597.23699999985</v>
      </c>
      <c r="U55" s="30">
        <v>699010.82399999991</v>
      </c>
      <c r="V55" s="30">
        <v>650028.46500000008</v>
      </c>
      <c r="W55" s="30">
        <v>396561.82500000007</v>
      </c>
      <c r="X55" s="30">
        <v>186190.47999999995</v>
      </c>
      <c r="Y55" s="30">
        <v>76173.608000000007</v>
      </c>
      <c r="Z55" s="31">
        <v>5222707</v>
      </c>
      <c r="AA55" s="32">
        <f t="shared" si="4"/>
        <v>3.4121887201516555E-4</v>
      </c>
      <c r="AB55" s="32">
        <f t="shared" si="4"/>
        <v>7.9601296960430569E-5</v>
      </c>
      <c r="AC55" s="32">
        <f t="shared" si="4"/>
        <v>6.3661283852358081E-5</v>
      </c>
      <c r="AD55" s="32">
        <f t="shared" si="4"/>
        <v>5.6402861922746947E-5</v>
      </c>
      <c r="AE55" s="32">
        <f t="shared" si="4"/>
        <v>5.9272034672074244E-5</v>
      </c>
      <c r="AF55" s="32">
        <f t="shared" si="3"/>
        <v>6.5807278543658152E-5</v>
      </c>
      <c r="AG55" s="32">
        <f t="shared" si="3"/>
        <v>6.9227737588383904E-5</v>
      </c>
      <c r="AH55" s="32">
        <f t="shared" si="3"/>
        <v>1.5130049393937499E-4</v>
      </c>
      <c r="AI55" s="32">
        <f t="shared" si="3"/>
        <v>5.6930945126732596E-4</v>
      </c>
      <c r="AJ55" s="32">
        <f t="shared" si="3"/>
        <v>2.9143952325325065E-3</v>
      </c>
      <c r="AK55" s="33">
        <f t="shared" si="2"/>
        <v>1.6007024709599829E-4</v>
      </c>
    </row>
    <row r="56" spans="1:37" x14ac:dyDescent="0.3">
      <c r="A56" t="s">
        <v>44</v>
      </c>
      <c r="B56" s="1">
        <v>2017</v>
      </c>
      <c r="C56" s="1" t="str">
        <f t="shared" si="0"/>
        <v>Colorado, 2017</v>
      </c>
      <c r="D56" s="27">
        <v>105</v>
      </c>
      <c r="E56" s="27">
        <v>39</v>
      </c>
      <c r="F56" s="27">
        <v>44</v>
      </c>
      <c r="G56" s="27">
        <v>53</v>
      </c>
      <c r="H56" s="27">
        <v>38</v>
      </c>
      <c r="I56" s="27">
        <v>52</v>
      </c>
      <c r="J56" s="27">
        <v>71</v>
      </c>
      <c r="K56" s="27">
        <v>89</v>
      </c>
      <c r="L56" s="27">
        <v>104</v>
      </c>
      <c r="M56" s="27">
        <v>248</v>
      </c>
      <c r="N56" s="27">
        <v>56</v>
      </c>
      <c r="O56" s="28">
        <v>899</v>
      </c>
      <c r="P56" s="29">
        <v>322321</v>
      </c>
      <c r="Q56" s="30">
        <v>678879</v>
      </c>
      <c r="R56" s="30">
        <v>731945</v>
      </c>
      <c r="S56" s="30">
        <v>786165</v>
      </c>
      <c r="T56" s="30">
        <v>699703</v>
      </c>
      <c r="U56" s="30">
        <v>686355</v>
      </c>
      <c r="V56" s="30">
        <v>658249</v>
      </c>
      <c r="W56" s="30">
        <v>423681</v>
      </c>
      <c r="X56" s="30">
        <v>199268</v>
      </c>
      <c r="Y56" s="30">
        <v>85733</v>
      </c>
      <c r="Z56" s="31">
        <v>5272299</v>
      </c>
      <c r="AA56" s="32">
        <f t="shared" si="4"/>
        <v>3.2576220599960908E-4</v>
      </c>
      <c r="AB56" s="32">
        <f t="shared" si="4"/>
        <v>5.7447645309399762E-5</v>
      </c>
      <c r="AC56" s="32">
        <f t="shared" si="4"/>
        <v>6.0113806365232364E-5</v>
      </c>
      <c r="AD56" s="32">
        <f t="shared" si="4"/>
        <v>6.741587325815828E-5</v>
      </c>
      <c r="AE56" s="32">
        <f t="shared" si="4"/>
        <v>5.4308756715349225E-5</v>
      </c>
      <c r="AF56" s="32">
        <f t="shared" si="3"/>
        <v>7.5762542707491018E-5</v>
      </c>
      <c r="AG56" s="32">
        <f t="shared" si="3"/>
        <v>1.0786191851411851E-4</v>
      </c>
      <c r="AH56" s="32">
        <f t="shared" si="3"/>
        <v>2.1006370358831291E-4</v>
      </c>
      <c r="AI56" s="32">
        <f t="shared" si="3"/>
        <v>5.2191019130015854E-4</v>
      </c>
      <c r="AJ56" s="32">
        <f t="shared" si="3"/>
        <v>2.8927017601157079E-3</v>
      </c>
      <c r="AK56" s="33">
        <f t="shared" si="2"/>
        <v>1.705138498404586E-4</v>
      </c>
    </row>
    <row r="57" spans="1:37" x14ac:dyDescent="0.3">
      <c r="A57" t="s">
        <v>45</v>
      </c>
      <c r="B57" s="1">
        <v>2009</v>
      </c>
      <c r="C57" s="1" t="str">
        <f t="shared" si="0"/>
        <v>Connecticut, 2009</v>
      </c>
      <c r="D57" s="27">
        <v>101</v>
      </c>
      <c r="E57" s="27">
        <v>58</v>
      </c>
      <c r="F57" s="27">
        <v>64</v>
      </c>
      <c r="G57" s="27">
        <v>53</v>
      </c>
      <c r="H57" s="27">
        <v>47</v>
      </c>
      <c r="I57" s="27">
        <v>74</v>
      </c>
      <c r="J57" s="27">
        <v>52</v>
      </c>
      <c r="K57" s="27">
        <v>50</v>
      </c>
      <c r="L57" s="27">
        <v>178</v>
      </c>
      <c r="M57" s="27">
        <v>364</v>
      </c>
      <c r="N57" s="27">
        <v>43</v>
      </c>
      <c r="O57" s="28">
        <v>1084</v>
      </c>
      <c r="P57" s="29">
        <v>212558.02899999998</v>
      </c>
      <c r="Q57" s="30">
        <v>459486.46100000007</v>
      </c>
      <c r="R57" s="30">
        <v>478043.67699999997</v>
      </c>
      <c r="S57" s="30">
        <v>403268.70999999996</v>
      </c>
      <c r="T57" s="30">
        <v>519801.315</v>
      </c>
      <c r="U57" s="30">
        <v>548351.92500000005</v>
      </c>
      <c r="V57" s="30">
        <v>397044.58799999999</v>
      </c>
      <c r="W57" s="30">
        <v>233949.85399999999</v>
      </c>
      <c r="X57" s="30">
        <v>164920.69399999999</v>
      </c>
      <c r="Y57" s="30">
        <v>77304.618000000002</v>
      </c>
      <c r="Z57" s="31">
        <v>3494487</v>
      </c>
      <c r="AA57" s="32">
        <f t="shared" si="4"/>
        <v>4.7516436088142314E-4</v>
      </c>
      <c r="AB57" s="32">
        <f t="shared" si="4"/>
        <v>1.2622787595040802E-4</v>
      </c>
      <c r="AC57" s="32">
        <f t="shared" si="4"/>
        <v>1.338789802673198E-4</v>
      </c>
      <c r="AD57" s="32">
        <f t="shared" si="4"/>
        <v>1.3142601616673906E-4</v>
      </c>
      <c r="AE57" s="32">
        <f t="shared" si="4"/>
        <v>9.0419163329742637E-5</v>
      </c>
      <c r="AF57" s="32">
        <f t="shared" si="3"/>
        <v>1.349498317161921E-4</v>
      </c>
      <c r="AG57" s="32">
        <f t="shared" si="3"/>
        <v>1.309676584736624E-4</v>
      </c>
      <c r="AH57" s="32">
        <f t="shared" si="3"/>
        <v>2.1372101390582617E-4</v>
      </c>
      <c r="AI57" s="32">
        <f t="shared" si="3"/>
        <v>1.0793066393475158E-3</v>
      </c>
      <c r="AJ57" s="32">
        <f t="shared" si="3"/>
        <v>4.7086449609000068E-3</v>
      </c>
      <c r="AK57" s="33">
        <f t="shared" si="2"/>
        <v>3.1020289959584913E-4</v>
      </c>
    </row>
    <row r="58" spans="1:37" x14ac:dyDescent="0.3">
      <c r="A58" t="s">
        <v>45</v>
      </c>
      <c r="B58" s="1">
        <v>2010</v>
      </c>
      <c r="C58" s="1" t="str">
        <f t="shared" si="0"/>
        <v>Connecticut, 2010</v>
      </c>
      <c r="D58" s="27">
        <v>124</v>
      </c>
      <c r="E58" s="27">
        <v>56</v>
      </c>
      <c r="F58" s="27">
        <v>46</v>
      </c>
      <c r="G58" s="27">
        <v>68</v>
      </c>
      <c r="H58" s="27">
        <v>51</v>
      </c>
      <c r="I58" s="27">
        <v>57</v>
      </c>
      <c r="J58" s="27">
        <v>54</v>
      </c>
      <c r="K58" s="27">
        <v>67</v>
      </c>
      <c r="L58" s="27">
        <v>105</v>
      </c>
      <c r="M58" s="27">
        <v>339</v>
      </c>
      <c r="N58" s="27">
        <v>45</v>
      </c>
      <c r="O58" s="28">
        <v>1012</v>
      </c>
      <c r="P58" s="29">
        <v>205283.99900000001</v>
      </c>
      <c r="Q58" s="30">
        <v>468081.70400000009</v>
      </c>
      <c r="R58" s="30">
        <v>474259.14500000002</v>
      </c>
      <c r="S58" s="30">
        <v>410857.38199999998</v>
      </c>
      <c r="T58" s="30">
        <v>512567.81</v>
      </c>
      <c r="U58" s="30">
        <v>564174.88900000008</v>
      </c>
      <c r="V58" s="30">
        <v>419799.91</v>
      </c>
      <c r="W58" s="30">
        <v>239997.74699999997</v>
      </c>
      <c r="X58" s="30">
        <v>171018.71299999999</v>
      </c>
      <c r="Y58" s="30">
        <v>80632.789000000004</v>
      </c>
      <c r="Z58" s="31">
        <v>3545837</v>
      </c>
      <c r="AA58" s="32">
        <f t="shared" si="4"/>
        <v>6.0404123362776073E-4</v>
      </c>
      <c r="AB58" s="32">
        <f t="shared" si="4"/>
        <v>1.1963723324678375E-4</v>
      </c>
      <c r="AC58" s="32">
        <f t="shared" si="4"/>
        <v>9.6993385335774598E-5</v>
      </c>
      <c r="AD58" s="32">
        <f t="shared" si="4"/>
        <v>1.6550755317814881E-4</v>
      </c>
      <c r="AE58" s="32">
        <f t="shared" si="4"/>
        <v>9.9499030186854688E-5</v>
      </c>
      <c r="AF58" s="32">
        <f t="shared" si="3"/>
        <v>1.0103250093429803E-4</v>
      </c>
      <c r="AG58" s="32">
        <f t="shared" si="3"/>
        <v>1.2863270980691731E-4</v>
      </c>
      <c r="AH58" s="32">
        <f t="shared" si="3"/>
        <v>2.7916928736835189E-4</v>
      </c>
      <c r="AI58" s="32">
        <f t="shared" si="3"/>
        <v>6.1396789952453926E-4</v>
      </c>
      <c r="AJ58" s="32">
        <f t="shared" si="3"/>
        <v>4.2042450001326384E-3</v>
      </c>
      <c r="AK58" s="33">
        <f t="shared" si="2"/>
        <v>2.8540511027438654E-4</v>
      </c>
    </row>
    <row r="59" spans="1:37" x14ac:dyDescent="0.3">
      <c r="A59" t="s">
        <v>45</v>
      </c>
      <c r="B59" s="1">
        <v>2011</v>
      </c>
      <c r="C59" s="1" t="str">
        <f t="shared" si="0"/>
        <v>Connecticut, 2011</v>
      </c>
      <c r="D59" s="27">
        <v>113</v>
      </c>
      <c r="E59" s="27">
        <v>62</v>
      </c>
      <c r="F59" s="27">
        <v>71</v>
      </c>
      <c r="G59" s="27">
        <v>52</v>
      </c>
      <c r="H59" s="27">
        <v>51</v>
      </c>
      <c r="I59" s="27">
        <v>42</v>
      </c>
      <c r="J59" s="27">
        <v>43</v>
      </c>
      <c r="K59" s="27">
        <v>50</v>
      </c>
      <c r="L59" s="27">
        <v>140</v>
      </c>
      <c r="M59" s="27">
        <v>415</v>
      </c>
      <c r="N59" s="27">
        <v>57</v>
      </c>
      <c r="O59" s="28">
        <v>1096</v>
      </c>
      <c r="P59" s="29">
        <v>203157.07199999999</v>
      </c>
      <c r="Q59" s="30">
        <v>463028.13099999999</v>
      </c>
      <c r="R59" s="30">
        <v>477078.43899999995</v>
      </c>
      <c r="S59" s="30">
        <v>414807.14800000004</v>
      </c>
      <c r="T59" s="30">
        <v>497351.57299999997</v>
      </c>
      <c r="U59" s="30">
        <v>568458.89300000004</v>
      </c>
      <c r="V59" s="30">
        <v>431497.94</v>
      </c>
      <c r="W59" s="30">
        <v>248604.04199999999</v>
      </c>
      <c r="X59" s="30">
        <v>166614.00900000002</v>
      </c>
      <c r="Y59" s="30">
        <v>84415.731</v>
      </c>
      <c r="Z59" s="31">
        <v>3558172</v>
      </c>
      <c r="AA59" s="32">
        <f t="shared" si="4"/>
        <v>5.5621986912668246E-4</v>
      </c>
      <c r="AB59" s="32">
        <f t="shared" si="4"/>
        <v>1.3390115167754245E-4</v>
      </c>
      <c r="AC59" s="32">
        <f t="shared" si="4"/>
        <v>1.4882248744844243E-4</v>
      </c>
      <c r="AD59" s="32">
        <f t="shared" si="4"/>
        <v>1.2535945981335885E-4</v>
      </c>
      <c r="AE59" s="32">
        <f t="shared" si="4"/>
        <v>1.0254315612670236E-4</v>
      </c>
      <c r="AF59" s="32">
        <f t="shared" si="3"/>
        <v>7.3883970357729983E-5</v>
      </c>
      <c r="AG59" s="32">
        <f t="shared" si="3"/>
        <v>9.9652851181630212E-5</v>
      </c>
      <c r="AH59" s="32">
        <f t="shared" si="3"/>
        <v>2.0112303725134125E-4</v>
      </c>
      <c r="AI59" s="32">
        <f t="shared" si="3"/>
        <v>8.4026547851687541E-4</v>
      </c>
      <c r="AJ59" s="32">
        <f t="shared" si="3"/>
        <v>4.9161453094565986E-3</v>
      </c>
      <c r="AK59" s="33">
        <f t="shared" si="2"/>
        <v>3.0802333332958609E-4</v>
      </c>
    </row>
    <row r="60" spans="1:37" x14ac:dyDescent="0.3">
      <c r="A60" t="s">
        <v>45</v>
      </c>
      <c r="B60" s="1">
        <v>2012</v>
      </c>
      <c r="C60" s="1" t="str">
        <f t="shared" si="0"/>
        <v>Connecticut, 2012</v>
      </c>
      <c r="D60" s="27">
        <v>107</v>
      </c>
      <c r="E60" s="27">
        <v>51</v>
      </c>
      <c r="F60" s="27">
        <v>69</v>
      </c>
      <c r="G60" s="27">
        <v>64</v>
      </c>
      <c r="H60" s="27">
        <v>62</v>
      </c>
      <c r="I60" s="27">
        <v>35</v>
      </c>
      <c r="J60" s="27">
        <v>41</v>
      </c>
      <c r="K60" s="27">
        <v>41</v>
      </c>
      <c r="L60" s="27">
        <v>131</v>
      </c>
      <c r="M60" s="27">
        <v>317</v>
      </c>
      <c r="N60" s="27">
        <v>54</v>
      </c>
      <c r="O60" s="28">
        <v>972</v>
      </c>
      <c r="P60" s="29">
        <v>199318.37699999998</v>
      </c>
      <c r="Q60" s="30">
        <v>458918.10799999995</v>
      </c>
      <c r="R60" s="30">
        <v>479176.98499999993</v>
      </c>
      <c r="S60" s="30">
        <v>420884.95999999996</v>
      </c>
      <c r="T60" s="30">
        <v>485113.86600000004</v>
      </c>
      <c r="U60" s="30">
        <v>569386.64899999998</v>
      </c>
      <c r="V60" s="30">
        <v>444154.76499999996</v>
      </c>
      <c r="W60" s="30">
        <v>258418.13399999999</v>
      </c>
      <c r="X60" s="30">
        <v>167108.36599999998</v>
      </c>
      <c r="Y60" s="30">
        <v>84749.743999999992</v>
      </c>
      <c r="Z60" s="31">
        <v>3572213</v>
      </c>
      <c r="AA60" s="32">
        <f t="shared" si="4"/>
        <v>5.3682957693359113E-4</v>
      </c>
      <c r="AB60" s="32">
        <f t="shared" si="4"/>
        <v>1.1113093842006341E-4</v>
      </c>
      <c r="AC60" s="32">
        <f t="shared" si="4"/>
        <v>1.4399689918329447E-4</v>
      </c>
      <c r="AD60" s="32">
        <f t="shared" si="4"/>
        <v>1.5206055355363615E-4</v>
      </c>
      <c r="AE60" s="32">
        <f t="shared" si="4"/>
        <v>1.2780504608375797E-4</v>
      </c>
      <c r="AF60" s="32">
        <f t="shared" si="3"/>
        <v>6.1469653462141512E-5</v>
      </c>
      <c r="AG60" s="32">
        <f t="shared" si="3"/>
        <v>9.231016580448035E-5</v>
      </c>
      <c r="AH60" s="32">
        <f t="shared" si="3"/>
        <v>1.5865759637440923E-4</v>
      </c>
      <c r="AI60" s="32">
        <f t="shared" si="3"/>
        <v>7.8392245185378696E-4</v>
      </c>
      <c r="AJ60" s="32">
        <f t="shared" si="3"/>
        <v>3.740424277859766E-3</v>
      </c>
      <c r="AK60" s="33">
        <f t="shared" si="2"/>
        <v>2.72100235904186E-4</v>
      </c>
    </row>
    <row r="61" spans="1:37" x14ac:dyDescent="0.3">
      <c r="A61" t="s">
        <v>45</v>
      </c>
      <c r="B61" s="1">
        <v>2013</v>
      </c>
      <c r="C61" s="1" t="str">
        <f t="shared" si="0"/>
        <v>Connecticut, 2013</v>
      </c>
      <c r="D61" s="27">
        <v>103</v>
      </c>
      <c r="E61" s="27">
        <v>67</v>
      </c>
      <c r="F61" s="27">
        <v>43</v>
      </c>
      <c r="G61" s="27">
        <v>52</v>
      </c>
      <c r="H61" s="27">
        <v>58</v>
      </c>
      <c r="I61" s="27">
        <v>50</v>
      </c>
      <c r="J61" s="27">
        <v>74</v>
      </c>
      <c r="K61" s="27">
        <v>60</v>
      </c>
      <c r="L61" s="27">
        <v>96</v>
      </c>
      <c r="M61" s="27">
        <v>377</v>
      </c>
      <c r="N61" s="27">
        <v>70</v>
      </c>
      <c r="O61" s="28">
        <v>1050</v>
      </c>
      <c r="P61" s="29">
        <v>197304.91999999998</v>
      </c>
      <c r="Q61" s="30">
        <v>456704.39100000006</v>
      </c>
      <c r="R61" s="30">
        <v>485144.57699999999</v>
      </c>
      <c r="S61" s="30">
        <v>427408.02799999999</v>
      </c>
      <c r="T61" s="30">
        <v>469068.08099999995</v>
      </c>
      <c r="U61" s="30">
        <v>568017.80499999993</v>
      </c>
      <c r="V61" s="30">
        <v>457295.72200000007</v>
      </c>
      <c r="W61" s="30">
        <v>269149.79800000001</v>
      </c>
      <c r="X61" s="30">
        <v>163767.89499999999</v>
      </c>
      <c r="Y61" s="30">
        <v>86889.545999999988</v>
      </c>
      <c r="Z61" s="31">
        <v>3583561</v>
      </c>
      <c r="AA61" s="32">
        <f t="shared" si="4"/>
        <v>5.2203462539099387E-4</v>
      </c>
      <c r="AB61" s="32">
        <f t="shared" si="4"/>
        <v>1.4670320960413099E-4</v>
      </c>
      <c r="AC61" s="32">
        <f t="shared" si="4"/>
        <v>8.8633372480220472E-5</v>
      </c>
      <c r="AD61" s="32">
        <f t="shared" si="4"/>
        <v>1.2166360150820565E-4</v>
      </c>
      <c r="AE61" s="32">
        <f t="shared" si="4"/>
        <v>1.2364942819462492E-4</v>
      </c>
      <c r="AF61" s="32">
        <f t="shared" si="3"/>
        <v>8.8025409696444303E-5</v>
      </c>
      <c r="AG61" s="32">
        <f t="shared" si="3"/>
        <v>1.6182088840971048E-4</v>
      </c>
      <c r="AH61" s="32">
        <f t="shared" si="3"/>
        <v>2.2292418737018707E-4</v>
      </c>
      <c r="AI61" s="32">
        <f t="shared" si="3"/>
        <v>5.8619548111062917E-4</v>
      </c>
      <c r="AJ61" s="32">
        <f t="shared" si="3"/>
        <v>4.3388418671217368E-3</v>
      </c>
      <c r="AK61" s="33">
        <f t="shared" si="2"/>
        <v>2.9300463979823422E-4</v>
      </c>
    </row>
    <row r="62" spans="1:37" x14ac:dyDescent="0.3">
      <c r="A62" t="s">
        <v>45</v>
      </c>
      <c r="B62" s="1">
        <v>2014</v>
      </c>
      <c r="C62" s="1" t="str">
        <f t="shared" si="0"/>
        <v>Connecticut, 2014</v>
      </c>
      <c r="D62" s="27">
        <v>119</v>
      </c>
      <c r="E62" s="27">
        <v>50</v>
      </c>
      <c r="F62" s="27">
        <v>56</v>
      </c>
      <c r="G62" s="27">
        <v>41</v>
      </c>
      <c r="H62" s="27">
        <v>41</v>
      </c>
      <c r="I62" s="27">
        <v>59</v>
      </c>
      <c r="J62" s="27">
        <v>53</v>
      </c>
      <c r="K62" s="27">
        <v>83</v>
      </c>
      <c r="L62" s="27">
        <v>118</v>
      </c>
      <c r="M62" s="27">
        <v>364</v>
      </c>
      <c r="N62" s="27">
        <v>45</v>
      </c>
      <c r="O62" s="28">
        <v>1029</v>
      </c>
      <c r="P62" s="29">
        <v>194081.70499999999</v>
      </c>
      <c r="Q62" s="30">
        <v>453491.70200000011</v>
      </c>
      <c r="R62" s="30">
        <v>489989.38800000004</v>
      </c>
      <c r="S62" s="30">
        <v>433442.86000000004</v>
      </c>
      <c r="T62" s="30">
        <v>459871.28799999994</v>
      </c>
      <c r="U62" s="30">
        <v>564044.85899999994</v>
      </c>
      <c r="V62" s="30">
        <v>469398.27200000006</v>
      </c>
      <c r="W62" s="30">
        <v>281209.196</v>
      </c>
      <c r="X62" s="30">
        <v>163445.33199999999</v>
      </c>
      <c r="Y62" s="30">
        <v>86810.755999999994</v>
      </c>
      <c r="Z62" s="31">
        <v>3592053</v>
      </c>
      <c r="AA62" s="32">
        <f t="shared" si="4"/>
        <v>6.1314383032651124E-4</v>
      </c>
      <c r="AB62" s="32">
        <f t="shared" si="4"/>
        <v>1.1025560066366989E-4</v>
      </c>
      <c r="AC62" s="32">
        <f t="shared" si="4"/>
        <v>1.142881894413599E-4</v>
      </c>
      <c r="AD62" s="32">
        <f t="shared" si="4"/>
        <v>9.4591476255947551E-5</v>
      </c>
      <c r="AE62" s="32">
        <f t="shared" si="4"/>
        <v>8.9155381233542032E-5</v>
      </c>
      <c r="AF62" s="32">
        <f t="shared" si="3"/>
        <v>1.0460160935532967E-4</v>
      </c>
      <c r="AG62" s="32">
        <f t="shared" si="3"/>
        <v>1.1291051365438345E-4</v>
      </c>
      <c r="AH62" s="32">
        <f t="shared" si="3"/>
        <v>2.9515393230596912E-4</v>
      </c>
      <c r="AI62" s="32">
        <f t="shared" si="3"/>
        <v>7.2195393136097641E-4</v>
      </c>
      <c r="AJ62" s="32">
        <f t="shared" si="3"/>
        <v>4.1930287993344976E-3</v>
      </c>
      <c r="AK62" s="33">
        <f t="shared" si="2"/>
        <v>2.8646570638016754E-4</v>
      </c>
    </row>
    <row r="63" spans="1:37" x14ac:dyDescent="0.3">
      <c r="A63" t="s">
        <v>45</v>
      </c>
      <c r="B63" s="1">
        <v>2015</v>
      </c>
      <c r="C63" s="1" t="str">
        <f t="shared" si="0"/>
        <v>Connecticut, 2015</v>
      </c>
      <c r="D63" s="27">
        <v>117</v>
      </c>
      <c r="E63" s="27">
        <v>64</v>
      </c>
      <c r="F63" s="27">
        <v>56</v>
      </c>
      <c r="G63" s="27">
        <v>58</v>
      </c>
      <c r="H63" s="27">
        <v>59</v>
      </c>
      <c r="I63" s="27">
        <v>37</v>
      </c>
      <c r="J63" s="27">
        <v>48</v>
      </c>
      <c r="K63" s="27">
        <v>62</v>
      </c>
      <c r="L63" s="27">
        <v>162</v>
      </c>
      <c r="M63" s="27">
        <v>397</v>
      </c>
      <c r="N63" s="27">
        <v>62</v>
      </c>
      <c r="O63" s="28">
        <v>1122</v>
      </c>
      <c r="P63" s="29">
        <v>191428.15599999999</v>
      </c>
      <c r="Q63" s="30">
        <v>447137.47500000009</v>
      </c>
      <c r="R63" s="30">
        <v>494068.23699999996</v>
      </c>
      <c r="S63" s="30">
        <v>437346.90099999995</v>
      </c>
      <c r="T63" s="30">
        <v>449396.44099999993</v>
      </c>
      <c r="U63" s="30">
        <v>555610.25200000009</v>
      </c>
      <c r="V63" s="30">
        <v>478011.77999999997</v>
      </c>
      <c r="W63" s="30">
        <v>292294.24699999997</v>
      </c>
      <c r="X63" s="30">
        <v>162165.48300000004</v>
      </c>
      <c r="Y63" s="30">
        <v>87955.889999999985</v>
      </c>
      <c r="Z63" s="31">
        <v>3593222</v>
      </c>
      <c r="AA63" s="32">
        <f t="shared" si="4"/>
        <v>6.1119535623589249E-4</v>
      </c>
      <c r="AB63" s="32">
        <f t="shared" si="4"/>
        <v>1.4313271326676428E-4</v>
      </c>
      <c r="AC63" s="32">
        <f t="shared" si="4"/>
        <v>1.1334466740876525E-4</v>
      </c>
      <c r="AD63" s="32">
        <f t="shared" si="4"/>
        <v>1.3261783693306657E-4</v>
      </c>
      <c r="AE63" s="32">
        <f t="shared" si="4"/>
        <v>1.3128719904570852E-4</v>
      </c>
      <c r="AF63" s="32">
        <f t="shared" si="3"/>
        <v>6.6593443635737647E-5</v>
      </c>
      <c r="AG63" s="32">
        <f t="shared" si="3"/>
        <v>1.0041593535623746E-4</v>
      </c>
      <c r="AH63" s="32">
        <f t="shared" si="3"/>
        <v>2.1211501983479E-4</v>
      </c>
      <c r="AI63" s="32">
        <f t="shared" si="3"/>
        <v>9.9897954239744086E-4</v>
      </c>
      <c r="AJ63" s="32">
        <f t="shared" si="3"/>
        <v>4.5136260914419727E-3</v>
      </c>
      <c r="AK63" s="33">
        <f t="shared" si="2"/>
        <v>3.1225457263703716E-4</v>
      </c>
    </row>
    <row r="64" spans="1:37" x14ac:dyDescent="0.3">
      <c r="A64" t="s">
        <v>45</v>
      </c>
      <c r="B64" s="1">
        <v>2016</v>
      </c>
      <c r="C64" s="1" t="str">
        <f t="shared" si="0"/>
        <v>Connecticut, 2016</v>
      </c>
      <c r="D64" s="27">
        <v>125</v>
      </c>
      <c r="E64" s="27">
        <v>65</v>
      </c>
      <c r="F64" s="27">
        <v>51</v>
      </c>
      <c r="G64" s="27">
        <v>56</v>
      </c>
      <c r="H64" s="27">
        <v>56</v>
      </c>
      <c r="I64" s="27">
        <v>57</v>
      </c>
      <c r="J64" s="27">
        <v>54</v>
      </c>
      <c r="K64" s="27">
        <v>47</v>
      </c>
      <c r="L64" s="27">
        <v>112</v>
      </c>
      <c r="M64" s="27">
        <v>307</v>
      </c>
      <c r="N64" s="27">
        <v>73</v>
      </c>
      <c r="O64" s="28">
        <v>1003</v>
      </c>
      <c r="P64" s="29">
        <v>188741.39800000002</v>
      </c>
      <c r="Q64" s="30">
        <v>439800.21500000003</v>
      </c>
      <c r="R64" s="30">
        <v>494764.12300000002</v>
      </c>
      <c r="S64" s="30">
        <v>438606.065</v>
      </c>
      <c r="T64" s="30">
        <v>439966.12500000006</v>
      </c>
      <c r="U64" s="30">
        <v>546335.86200000008</v>
      </c>
      <c r="V64" s="30">
        <v>488884.00199999998</v>
      </c>
      <c r="W64" s="30">
        <v>303525.87199999997</v>
      </c>
      <c r="X64" s="30">
        <v>162787.73599999998</v>
      </c>
      <c r="Y64" s="30">
        <v>87324.955000000002</v>
      </c>
      <c r="Z64" s="31">
        <v>3588570</v>
      </c>
      <c r="AA64" s="32">
        <f t="shared" si="4"/>
        <v>6.6228183813706834E-4</v>
      </c>
      <c r="AB64" s="32">
        <f t="shared" si="4"/>
        <v>1.4779437977309766E-4</v>
      </c>
      <c r="AC64" s="32">
        <f t="shared" si="4"/>
        <v>1.0307942235334634E-4</v>
      </c>
      <c r="AD64" s="32">
        <f t="shared" si="4"/>
        <v>1.276772130362584E-4</v>
      </c>
      <c r="AE64" s="32">
        <f t="shared" si="4"/>
        <v>1.2728252658088165E-4</v>
      </c>
      <c r="AF64" s="32">
        <f t="shared" si="3"/>
        <v>1.043314268101258E-4</v>
      </c>
      <c r="AG64" s="32">
        <f t="shared" si="3"/>
        <v>1.1045564955917703E-4</v>
      </c>
      <c r="AH64" s="32">
        <f t="shared" si="3"/>
        <v>1.5484676706570833E-4</v>
      </c>
      <c r="AI64" s="32">
        <f t="shared" si="3"/>
        <v>6.8801251711001139E-4</v>
      </c>
      <c r="AJ64" s="32">
        <f t="shared" si="3"/>
        <v>3.5156044454875469E-3</v>
      </c>
      <c r="AK64" s="33">
        <f t="shared" si="2"/>
        <v>2.7949851890864607E-4</v>
      </c>
    </row>
    <row r="65" spans="1:37" x14ac:dyDescent="0.3">
      <c r="A65" t="s">
        <v>45</v>
      </c>
      <c r="B65" s="1">
        <v>2017</v>
      </c>
      <c r="C65" s="1" t="str">
        <f t="shared" si="0"/>
        <v>Connecticut, 2017</v>
      </c>
      <c r="D65" s="27">
        <v>130</v>
      </c>
      <c r="E65" s="27">
        <v>60</v>
      </c>
      <c r="F65" s="27">
        <v>60</v>
      </c>
      <c r="G65" s="27">
        <v>55</v>
      </c>
      <c r="H65" s="27">
        <v>49</v>
      </c>
      <c r="I65" s="27">
        <v>60</v>
      </c>
      <c r="J65" s="27">
        <v>70</v>
      </c>
      <c r="K65" s="27">
        <v>70</v>
      </c>
      <c r="L65" s="27">
        <v>120</v>
      </c>
      <c r="M65" s="27">
        <v>389</v>
      </c>
      <c r="N65" s="27">
        <v>57</v>
      </c>
      <c r="O65" s="28">
        <v>1120</v>
      </c>
      <c r="P65" s="29">
        <v>186188</v>
      </c>
      <c r="Q65" s="30">
        <v>432367</v>
      </c>
      <c r="R65" s="30">
        <v>495626</v>
      </c>
      <c r="S65" s="30">
        <v>439239</v>
      </c>
      <c r="T65" s="30">
        <v>433401</v>
      </c>
      <c r="U65" s="30">
        <v>535611</v>
      </c>
      <c r="V65" s="30">
        <v>496289</v>
      </c>
      <c r="W65" s="30">
        <v>318515</v>
      </c>
      <c r="X65" s="30">
        <v>167133</v>
      </c>
      <c r="Y65" s="30">
        <v>90109</v>
      </c>
      <c r="Z65" s="31">
        <v>3594478</v>
      </c>
      <c r="AA65" s="32">
        <f t="shared" si="4"/>
        <v>6.9821900444711794E-4</v>
      </c>
      <c r="AB65" s="32">
        <f t="shared" si="4"/>
        <v>1.3877099778660258E-4</v>
      </c>
      <c r="AC65" s="32">
        <f t="shared" si="4"/>
        <v>1.210590243449698E-4</v>
      </c>
      <c r="AD65" s="32">
        <f t="shared" si="4"/>
        <v>1.2521656774557816E-4</v>
      </c>
      <c r="AE65" s="32">
        <f t="shared" si="4"/>
        <v>1.1305926843731325E-4</v>
      </c>
      <c r="AF65" s="32">
        <f t="shared" si="3"/>
        <v>1.120215977640489E-4</v>
      </c>
      <c r="AG65" s="32">
        <f t="shared" si="3"/>
        <v>1.4104684971861153E-4</v>
      </c>
      <c r="AH65" s="32">
        <f t="shared" si="3"/>
        <v>2.1976986955088456E-4</v>
      </c>
      <c r="AI65" s="32">
        <f t="shared" si="3"/>
        <v>7.1799106101129038E-4</v>
      </c>
      <c r="AJ65" s="32">
        <f t="shared" si="3"/>
        <v>4.3169938629881591E-3</v>
      </c>
      <c r="AK65" s="33">
        <f t="shared" si="2"/>
        <v>3.1158905409909313E-4</v>
      </c>
    </row>
    <row r="66" spans="1:37" x14ac:dyDescent="0.3">
      <c r="A66" t="s">
        <v>46</v>
      </c>
      <c r="B66" s="1">
        <v>2009</v>
      </c>
      <c r="C66" s="1" t="str">
        <f t="shared" si="0"/>
        <v>Delaware, 2009</v>
      </c>
      <c r="D66" s="27">
        <v>113</v>
      </c>
      <c r="E66" s="27">
        <v>55</v>
      </c>
      <c r="F66" s="27">
        <v>48</v>
      </c>
      <c r="G66" s="27">
        <v>46</v>
      </c>
      <c r="H66" s="27">
        <v>57</v>
      </c>
      <c r="I66" s="27">
        <v>50</v>
      </c>
      <c r="J66" s="27">
        <v>66</v>
      </c>
      <c r="K66" s="27">
        <v>47</v>
      </c>
      <c r="L66" s="27">
        <v>58</v>
      </c>
      <c r="M66" s="27">
        <v>45</v>
      </c>
      <c r="N66" s="27">
        <v>48</v>
      </c>
      <c r="O66" s="28">
        <v>633</v>
      </c>
      <c r="P66" s="29">
        <v>58270.941999999995</v>
      </c>
      <c r="Q66" s="30">
        <v>111165.51800000001</v>
      </c>
      <c r="R66" s="30">
        <v>117963.568</v>
      </c>
      <c r="S66" s="30">
        <v>112326.01799999998</v>
      </c>
      <c r="T66" s="30">
        <v>121305.82999999999</v>
      </c>
      <c r="U66" s="30">
        <v>125074.128</v>
      </c>
      <c r="V66" s="30">
        <v>99139.957999999984</v>
      </c>
      <c r="W66" s="30">
        <v>63093.334000000003</v>
      </c>
      <c r="X66" s="30">
        <v>40563.036000000007</v>
      </c>
      <c r="Y66" s="30">
        <v>15490.835999999999</v>
      </c>
      <c r="Z66" s="31">
        <v>863832</v>
      </c>
      <c r="AA66" s="32">
        <f t="shared" si="4"/>
        <v>1.9392169771341608E-3</v>
      </c>
      <c r="AB66" s="32">
        <f t="shared" si="4"/>
        <v>4.9475773593750535E-4</v>
      </c>
      <c r="AC66" s="32">
        <f t="shared" si="4"/>
        <v>4.0690529130146352E-4</v>
      </c>
      <c r="AD66" s="32">
        <f t="shared" si="4"/>
        <v>4.0952221772875457E-4</v>
      </c>
      <c r="AE66" s="32">
        <f t="shared" si="4"/>
        <v>4.6988673174240683E-4</v>
      </c>
      <c r="AF66" s="32">
        <f t="shared" si="3"/>
        <v>3.99762930987614E-4</v>
      </c>
      <c r="AG66" s="32">
        <f t="shared" si="3"/>
        <v>6.6572551906870906E-4</v>
      </c>
      <c r="AH66" s="32">
        <f t="shared" si="3"/>
        <v>7.4492814090312614E-4</v>
      </c>
      <c r="AI66" s="32">
        <f t="shared" si="3"/>
        <v>1.429873247160296E-3</v>
      </c>
      <c r="AJ66" s="32">
        <f t="shared" si="3"/>
        <v>2.9049432838873256E-3</v>
      </c>
      <c r="AK66" s="33">
        <f t="shared" si="2"/>
        <v>7.3278137415608595E-4</v>
      </c>
    </row>
    <row r="67" spans="1:37" x14ac:dyDescent="0.3">
      <c r="A67" t="s">
        <v>46</v>
      </c>
      <c r="B67" s="1">
        <v>2010</v>
      </c>
      <c r="C67" s="1" t="str">
        <f t="shared" si="0"/>
        <v>Delaware, 2010</v>
      </c>
      <c r="D67" s="27">
        <v>82</v>
      </c>
      <c r="E67" s="27">
        <v>56</v>
      </c>
      <c r="F67" s="27">
        <v>66</v>
      </c>
      <c r="G67" s="27">
        <v>64</v>
      </c>
      <c r="H67" s="27">
        <v>55</v>
      </c>
      <c r="I67" s="27">
        <v>58</v>
      </c>
      <c r="J67" s="27">
        <v>48</v>
      </c>
      <c r="K67" s="27">
        <v>45</v>
      </c>
      <c r="L67" s="27">
        <v>58</v>
      </c>
      <c r="M67" s="27">
        <v>51</v>
      </c>
      <c r="N67" s="27">
        <v>62</v>
      </c>
      <c r="O67" s="28">
        <v>645</v>
      </c>
      <c r="P67" s="29">
        <v>55855.555999999997</v>
      </c>
      <c r="Q67" s="30">
        <v>112543.174</v>
      </c>
      <c r="R67" s="30">
        <v>125219.46</v>
      </c>
      <c r="S67" s="30">
        <v>109915.41399999999</v>
      </c>
      <c r="T67" s="30">
        <v>120411.88</v>
      </c>
      <c r="U67" s="30">
        <v>130201.804</v>
      </c>
      <c r="V67" s="30">
        <v>104765.266</v>
      </c>
      <c r="W67" s="30">
        <v>67709.213999999993</v>
      </c>
      <c r="X67" s="30">
        <v>39449.731999999996</v>
      </c>
      <c r="Y67" s="30">
        <v>15622.119999999999</v>
      </c>
      <c r="Z67" s="31">
        <v>881278</v>
      </c>
      <c r="AA67" s="32">
        <f t="shared" si="4"/>
        <v>1.4680723973099473E-3</v>
      </c>
      <c r="AB67" s="32">
        <f t="shared" si="4"/>
        <v>4.9758681943695671E-4</v>
      </c>
      <c r="AC67" s="32">
        <f t="shared" si="4"/>
        <v>5.2707462562128914E-4</v>
      </c>
      <c r="AD67" s="32">
        <f t="shared" si="4"/>
        <v>5.8226592313977003E-4</v>
      </c>
      <c r="AE67" s="32">
        <f t="shared" si="4"/>
        <v>4.5676556167049297E-4</v>
      </c>
      <c r="AF67" s="32">
        <f t="shared" si="3"/>
        <v>4.4546233783366012E-4</v>
      </c>
      <c r="AG67" s="32">
        <f t="shared" si="3"/>
        <v>4.5816711809809179E-4</v>
      </c>
      <c r="AH67" s="32">
        <f t="shared" si="3"/>
        <v>6.6460674022888533E-4</v>
      </c>
      <c r="AI67" s="32">
        <f t="shared" si="3"/>
        <v>1.4702254504542643E-3</v>
      </c>
      <c r="AJ67" s="32">
        <f t="shared" si="3"/>
        <v>3.2646017313911302E-3</v>
      </c>
      <c r="AK67" s="33">
        <f t="shared" si="2"/>
        <v>7.3189163918763428E-4</v>
      </c>
    </row>
    <row r="68" spans="1:37" x14ac:dyDescent="0.3">
      <c r="A68" t="s">
        <v>46</v>
      </c>
      <c r="B68" s="1">
        <v>2011</v>
      </c>
      <c r="C68" s="1" t="str">
        <f t="shared" ref="C68:C131" si="5">A68&amp;", "&amp;B68</f>
        <v>Delaware, 2011</v>
      </c>
      <c r="D68" s="27">
        <v>93</v>
      </c>
      <c r="E68" s="27">
        <v>55</v>
      </c>
      <c r="F68" s="27">
        <v>53</v>
      </c>
      <c r="G68" s="27">
        <v>72</v>
      </c>
      <c r="H68" s="27">
        <v>41</v>
      </c>
      <c r="I68" s="27">
        <v>81</v>
      </c>
      <c r="J68" s="27">
        <v>45</v>
      </c>
      <c r="K68" s="27">
        <v>65</v>
      </c>
      <c r="L68" s="27">
        <v>61</v>
      </c>
      <c r="M68" s="27">
        <v>63</v>
      </c>
      <c r="N68" s="27">
        <v>45</v>
      </c>
      <c r="O68" s="28">
        <v>674</v>
      </c>
      <c r="P68" s="29">
        <v>55769.298000000003</v>
      </c>
      <c r="Q68" s="30">
        <v>112323.41400000002</v>
      </c>
      <c r="R68" s="30">
        <v>126170.592</v>
      </c>
      <c r="S68" s="30">
        <v>110709.19200000001</v>
      </c>
      <c r="T68" s="30">
        <v>117917.394</v>
      </c>
      <c r="U68" s="30">
        <v>131753.24400000001</v>
      </c>
      <c r="V68" s="30">
        <v>108786.44399999999</v>
      </c>
      <c r="W68" s="30">
        <v>70359.245999999999</v>
      </c>
      <c r="X68" s="30">
        <v>40071.9</v>
      </c>
      <c r="Y68" s="30">
        <v>16151.268</v>
      </c>
      <c r="Z68" s="31">
        <v>890856</v>
      </c>
      <c r="AA68" s="32">
        <f t="shared" si="4"/>
        <v>1.6675841965950512E-3</v>
      </c>
      <c r="AB68" s="32">
        <f t="shared" si="4"/>
        <v>4.8965748138673907E-4</v>
      </c>
      <c r="AC68" s="32">
        <f t="shared" si="4"/>
        <v>4.2006619101858536E-4</v>
      </c>
      <c r="AD68" s="32">
        <f t="shared" si="4"/>
        <v>6.5035250189523553E-4</v>
      </c>
      <c r="AE68" s="32">
        <f t="shared" si="4"/>
        <v>3.4770103552322402E-4</v>
      </c>
      <c r="AF68" s="32">
        <f t="shared" si="3"/>
        <v>6.1478562152139497E-4</v>
      </c>
      <c r="AG68" s="32">
        <f t="shared" si="3"/>
        <v>4.1365448069981958E-4</v>
      </c>
      <c r="AH68" s="32">
        <f t="shared" si="3"/>
        <v>9.2383025252999447E-4</v>
      </c>
      <c r="AI68" s="32">
        <f t="shared" si="3"/>
        <v>1.5222637309436288E-3</v>
      </c>
      <c r="AJ68" s="32">
        <f t="shared" si="3"/>
        <v>3.9006225393572814E-3</v>
      </c>
      <c r="AK68" s="33">
        <f t="shared" ref="AK68:AK131" si="6">O68/Z68</f>
        <v>7.5657569798036946E-4</v>
      </c>
    </row>
    <row r="69" spans="1:37" x14ac:dyDescent="0.3">
      <c r="A69" t="s">
        <v>46</v>
      </c>
      <c r="B69" s="1">
        <v>2012</v>
      </c>
      <c r="C69" s="1" t="str">
        <f t="shared" si="5"/>
        <v>Delaware, 2012</v>
      </c>
      <c r="D69" s="27">
        <v>83</v>
      </c>
      <c r="E69" s="27">
        <v>54</v>
      </c>
      <c r="F69" s="27">
        <v>58</v>
      </c>
      <c r="G69" s="27">
        <v>58</v>
      </c>
      <c r="H69" s="27">
        <v>57</v>
      </c>
      <c r="I69" s="27">
        <v>58</v>
      </c>
      <c r="J69" s="27">
        <v>74</v>
      </c>
      <c r="K69" s="27">
        <v>52</v>
      </c>
      <c r="L69" s="27">
        <v>45</v>
      </c>
      <c r="M69" s="27">
        <v>67</v>
      </c>
      <c r="N69" s="27">
        <v>52</v>
      </c>
      <c r="O69" s="28">
        <v>658</v>
      </c>
      <c r="P69" s="29">
        <v>56156.893000000004</v>
      </c>
      <c r="Q69" s="30">
        <v>113484.041</v>
      </c>
      <c r="R69" s="30">
        <v>127042.61800000002</v>
      </c>
      <c r="S69" s="30">
        <v>111979.94399999999</v>
      </c>
      <c r="T69" s="30">
        <v>115866.42300000001</v>
      </c>
      <c r="U69" s="30">
        <v>132333.603</v>
      </c>
      <c r="V69" s="30">
        <v>111943.48799999998</v>
      </c>
      <c r="W69" s="30">
        <v>73350.815000000002</v>
      </c>
      <c r="X69" s="30">
        <v>41219.457000000002</v>
      </c>
      <c r="Y69" s="30">
        <v>16162.742999999999</v>
      </c>
      <c r="Z69" s="31">
        <v>900131</v>
      </c>
      <c r="AA69" s="32">
        <f t="shared" si="4"/>
        <v>1.4780019970121923E-3</v>
      </c>
      <c r="AB69" s="32">
        <f t="shared" si="4"/>
        <v>4.7583783168243012E-4</v>
      </c>
      <c r="AC69" s="32">
        <f t="shared" si="4"/>
        <v>4.5653971016245895E-4</v>
      </c>
      <c r="AD69" s="32">
        <f t="shared" si="4"/>
        <v>5.1794989288439009E-4</v>
      </c>
      <c r="AE69" s="32">
        <f t="shared" si="4"/>
        <v>4.9194579865471466E-4</v>
      </c>
      <c r="AF69" s="32">
        <f t="shared" si="3"/>
        <v>4.3828626051993762E-4</v>
      </c>
      <c r="AG69" s="32">
        <f t="shared" si="3"/>
        <v>6.6104783156301159E-4</v>
      </c>
      <c r="AH69" s="32">
        <f t="shared" si="3"/>
        <v>7.0892191177425901E-4</v>
      </c>
      <c r="AI69" s="32">
        <f t="shared" si="3"/>
        <v>1.0917174381991494E-3</v>
      </c>
      <c r="AJ69" s="32">
        <f t="shared" si="3"/>
        <v>4.1453359742217024E-3</v>
      </c>
      <c r="AK69" s="33">
        <f t="shared" si="6"/>
        <v>7.3100470931453316E-4</v>
      </c>
    </row>
    <row r="70" spans="1:37" x14ac:dyDescent="0.3">
      <c r="A70" t="s">
        <v>46</v>
      </c>
      <c r="B70" s="1">
        <v>2013</v>
      </c>
      <c r="C70" s="1" t="str">
        <f t="shared" si="5"/>
        <v>Delaware, 2013</v>
      </c>
      <c r="D70" s="27">
        <v>126</v>
      </c>
      <c r="E70" s="27">
        <v>62</v>
      </c>
      <c r="F70" s="27">
        <v>65</v>
      </c>
      <c r="G70" s="27">
        <v>60</v>
      </c>
      <c r="H70" s="27">
        <v>53</v>
      </c>
      <c r="I70" s="27">
        <v>39</v>
      </c>
      <c r="J70" s="27">
        <v>55</v>
      </c>
      <c r="K70" s="27">
        <v>39</v>
      </c>
      <c r="L70" s="27">
        <v>56</v>
      </c>
      <c r="M70" s="27">
        <v>57</v>
      </c>
      <c r="N70" s="27">
        <v>57</v>
      </c>
      <c r="O70" s="28">
        <v>669</v>
      </c>
      <c r="P70" s="29">
        <v>56145.642</v>
      </c>
      <c r="Q70" s="30">
        <v>113812.83</v>
      </c>
      <c r="R70" s="30">
        <v>127261.97</v>
      </c>
      <c r="S70" s="30">
        <v>114392.564</v>
      </c>
      <c r="T70" s="30">
        <v>113779.46400000001</v>
      </c>
      <c r="U70" s="30">
        <v>132610.28</v>
      </c>
      <c r="V70" s="30">
        <v>115009.85800000001</v>
      </c>
      <c r="W70" s="30">
        <v>77609.5</v>
      </c>
      <c r="X70" s="30">
        <v>41069.712</v>
      </c>
      <c r="Y70" s="30">
        <v>16718.577999999998</v>
      </c>
      <c r="Z70" s="31">
        <v>908446</v>
      </c>
      <c r="AA70" s="32">
        <f t="shared" si="4"/>
        <v>2.2441634917987046E-3</v>
      </c>
      <c r="AB70" s="32">
        <f t="shared" si="4"/>
        <v>5.4475404925789122E-4</v>
      </c>
      <c r="AC70" s="32">
        <f t="shared" si="4"/>
        <v>5.1075745566409199E-4</v>
      </c>
      <c r="AD70" s="32">
        <f t="shared" si="4"/>
        <v>5.2450961760066857E-4</v>
      </c>
      <c r="AE70" s="32">
        <f t="shared" si="4"/>
        <v>4.658134089997119E-4</v>
      </c>
      <c r="AF70" s="32">
        <f t="shared" si="3"/>
        <v>2.9409484694550077E-4</v>
      </c>
      <c r="AG70" s="32">
        <f t="shared" si="3"/>
        <v>4.7821987572578339E-4</v>
      </c>
      <c r="AH70" s="32">
        <f t="shared" si="3"/>
        <v>5.0251580025641195E-4</v>
      </c>
      <c r="AI70" s="32">
        <f t="shared" si="3"/>
        <v>1.3635352495288985E-3</v>
      </c>
      <c r="AJ70" s="32">
        <f t="shared" si="3"/>
        <v>3.4093808695930964E-3</v>
      </c>
      <c r="AK70" s="33">
        <f t="shared" si="6"/>
        <v>7.3642241806337421E-4</v>
      </c>
    </row>
    <row r="71" spans="1:37" x14ac:dyDescent="0.3">
      <c r="A71" t="s">
        <v>46</v>
      </c>
      <c r="B71" s="1">
        <v>2014</v>
      </c>
      <c r="C71" s="1" t="str">
        <f t="shared" si="5"/>
        <v>Delaware, 2014</v>
      </c>
      <c r="D71" s="27">
        <v>103</v>
      </c>
      <c r="E71" s="27">
        <v>57</v>
      </c>
      <c r="F71" s="27">
        <v>62</v>
      </c>
      <c r="G71" s="27">
        <v>33</v>
      </c>
      <c r="H71" s="27">
        <v>60</v>
      </c>
      <c r="I71" s="27">
        <v>40</v>
      </c>
      <c r="J71" s="27">
        <v>60</v>
      </c>
      <c r="K71" s="27">
        <v>55</v>
      </c>
      <c r="L71" s="27">
        <v>47</v>
      </c>
      <c r="M71" s="27">
        <v>60</v>
      </c>
      <c r="N71" s="27">
        <v>51</v>
      </c>
      <c r="O71" s="28">
        <v>628</v>
      </c>
      <c r="P71" s="29">
        <v>55963.097000000002</v>
      </c>
      <c r="Q71" s="30">
        <v>114168.27499999999</v>
      </c>
      <c r="R71" s="30">
        <v>126039.97400000002</v>
      </c>
      <c r="S71" s="30">
        <v>117064.497</v>
      </c>
      <c r="T71" s="30">
        <v>112274.973</v>
      </c>
      <c r="U71" s="30">
        <v>132012.74</v>
      </c>
      <c r="V71" s="30">
        <v>118516.83900000001</v>
      </c>
      <c r="W71" s="30">
        <v>81244.688999999998</v>
      </c>
      <c r="X71" s="30">
        <v>42241.995999999999</v>
      </c>
      <c r="Y71" s="30">
        <v>17598.285</v>
      </c>
      <c r="Z71" s="31">
        <v>917060</v>
      </c>
      <c r="AA71" s="32">
        <f t="shared" si="4"/>
        <v>1.8404985699772833E-3</v>
      </c>
      <c r="AB71" s="32">
        <f t="shared" si="4"/>
        <v>4.9926303957907744E-4</v>
      </c>
      <c r="AC71" s="32">
        <f t="shared" si="4"/>
        <v>4.9190743247852454E-4</v>
      </c>
      <c r="AD71" s="32">
        <f t="shared" si="4"/>
        <v>2.8189588513757505E-4</v>
      </c>
      <c r="AE71" s="32">
        <f t="shared" si="4"/>
        <v>5.3440226612212142E-4</v>
      </c>
      <c r="AF71" s="32">
        <f t="shared" si="3"/>
        <v>3.0300105883720015E-4</v>
      </c>
      <c r="AG71" s="32">
        <f t="shared" si="3"/>
        <v>5.0625717413877358E-4</v>
      </c>
      <c r="AH71" s="32">
        <f t="shared" si="3"/>
        <v>6.7696732767356645E-4</v>
      </c>
      <c r="AI71" s="32">
        <f t="shared" si="3"/>
        <v>1.1126368176352273E-3</v>
      </c>
      <c r="AJ71" s="32">
        <f t="shared" si="3"/>
        <v>3.4094231341292632E-3</v>
      </c>
      <c r="AK71" s="33">
        <f t="shared" si="6"/>
        <v>6.8479706889407459E-4</v>
      </c>
    </row>
    <row r="72" spans="1:37" x14ac:dyDescent="0.3">
      <c r="A72" t="s">
        <v>46</v>
      </c>
      <c r="B72" s="1">
        <v>2015</v>
      </c>
      <c r="C72" s="1" t="str">
        <f t="shared" si="5"/>
        <v>Delaware, 2015</v>
      </c>
      <c r="D72" s="27">
        <v>131</v>
      </c>
      <c r="E72" s="27">
        <v>50</v>
      </c>
      <c r="F72" s="27">
        <v>64</v>
      </c>
      <c r="G72" s="27">
        <v>60</v>
      </c>
      <c r="H72" s="27">
        <v>44</v>
      </c>
      <c r="I72" s="27">
        <v>54</v>
      </c>
      <c r="J72" s="27">
        <v>62</v>
      </c>
      <c r="K72" s="27">
        <v>54</v>
      </c>
      <c r="L72" s="27">
        <v>62</v>
      </c>
      <c r="M72" s="27">
        <v>84</v>
      </c>
      <c r="N72" s="27">
        <v>47</v>
      </c>
      <c r="O72" s="28">
        <v>712</v>
      </c>
      <c r="P72" s="29">
        <v>55605.577000000005</v>
      </c>
      <c r="Q72" s="30">
        <v>113673.158</v>
      </c>
      <c r="R72" s="30">
        <v>125757.539</v>
      </c>
      <c r="S72" s="30">
        <v>120033.74799999999</v>
      </c>
      <c r="T72" s="30">
        <v>111328.33799999999</v>
      </c>
      <c r="U72" s="30">
        <v>131079.57</v>
      </c>
      <c r="V72" s="30">
        <v>121253.851</v>
      </c>
      <c r="W72" s="30">
        <v>85953.712</v>
      </c>
      <c r="X72" s="30">
        <v>43807.407000000007</v>
      </c>
      <c r="Y72" s="30">
        <v>17788.268</v>
      </c>
      <c r="Z72" s="31">
        <v>926454</v>
      </c>
      <c r="AA72" s="32">
        <f t="shared" si="4"/>
        <v>2.3558787997110431E-3</v>
      </c>
      <c r="AB72" s="32">
        <f t="shared" si="4"/>
        <v>4.3985757833876667E-4</v>
      </c>
      <c r="AC72" s="32">
        <f t="shared" si="4"/>
        <v>5.0891581140117572E-4</v>
      </c>
      <c r="AD72" s="32">
        <f t="shared" si="4"/>
        <v>4.9985942286830869E-4</v>
      </c>
      <c r="AE72" s="32">
        <f t="shared" si="4"/>
        <v>3.9522731400157979E-4</v>
      </c>
      <c r="AF72" s="32">
        <f t="shared" si="3"/>
        <v>4.1196351193401075E-4</v>
      </c>
      <c r="AG72" s="32">
        <f t="shared" si="3"/>
        <v>5.1132396611469275E-4</v>
      </c>
      <c r="AH72" s="32">
        <f t="shared" si="3"/>
        <v>6.2824511872157428E-4</v>
      </c>
      <c r="AI72" s="32">
        <f t="shared" si="3"/>
        <v>1.4152857757593366E-3</v>
      </c>
      <c r="AJ72" s="32">
        <f t="shared" si="3"/>
        <v>4.7222135398454759E-3</v>
      </c>
      <c r="AK72" s="33">
        <f t="shared" si="6"/>
        <v>7.6852169670593468E-4</v>
      </c>
    </row>
    <row r="73" spans="1:37" x14ac:dyDescent="0.3">
      <c r="A73" t="s">
        <v>46</v>
      </c>
      <c r="B73" s="1">
        <v>2016</v>
      </c>
      <c r="C73" s="1" t="str">
        <f t="shared" si="5"/>
        <v>Delaware, 2016</v>
      </c>
      <c r="D73" s="27">
        <v>125</v>
      </c>
      <c r="E73" s="27">
        <v>61</v>
      </c>
      <c r="F73" s="27">
        <v>56</v>
      </c>
      <c r="G73" s="27">
        <v>70</v>
      </c>
      <c r="H73" s="27">
        <v>51</v>
      </c>
      <c r="I73" s="27">
        <v>40</v>
      </c>
      <c r="J73" s="27">
        <v>67</v>
      </c>
      <c r="K73" s="27">
        <v>59</v>
      </c>
      <c r="L73" s="27">
        <v>60</v>
      </c>
      <c r="M73" s="27">
        <v>58</v>
      </c>
      <c r="N73" s="27">
        <v>62</v>
      </c>
      <c r="O73" s="28">
        <v>709</v>
      </c>
      <c r="P73" s="29">
        <v>55711.476000000002</v>
      </c>
      <c r="Q73" s="30">
        <v>114488.31</v>
      </c>
      <c r="R73" s="30">
        <v>124332.12899999999</v>
      </c>
      <c r="S73" s="30">
        <v>122261.96699999999</v>
      </c>
      <c r="T73" s="30">
        <v>110395.70699999999</v>
      </c>
      <c r="U73" s="30">
        <v>129752.73000000001</v>
      </c>
      <c r="V73" s="30">
        <v>124605.88800000001</v>
      </c>
      <c r="W73" s="30">
        <v>90855.747000000003</v>
      </c>
      <c r="X73" s="30">
        <v>44843.163</v>
      </c>
      <c r="Y73" s="30">
        <v>17960.129999999997</v>
      </c>
      <c r="Z73" s="31">
        <v>934695</v>
      </c>
      <c r="AA73" s="32">
        <f t="shared" si="4"/>
        <v>2.2437028952526764E-3</v>
      </c>
      <c r="AB73" s="32">
        <f t="shared" si="4"/>
        <v>5.3280548904949341E-4</v>
      </c>
      <c r="AC73" s="32">
        <f t="shared" si="4"/>
        <v>4.5040650755686815E-4</v>
      </c>
      <c r="AD73" s="32">
        <f t="shared" si="4"/>
        <v>5.7254109121277267E-4</v>
      </c>
      <c r="AE73" s="32">
        <f t="shared" si="4"/>
        <v>4.6197448601873625E-4</v>
      </c>
      <c r="AF73" s="32">
        <f t="shared" si="3"/>
        <v>3.0827867745056303E-4</v>
      </c>
      <c r="AG73" s="32">
        <f t="shared" si="3"/>
        <v>5.3769529735224063E-4</v>
      </c>
      <c r="AH73" s="32">
        <f t="shared" si="3"/>
        <v>6.4938104575817306E-4</v>
      </c>
      <c r="AI73" s="32">
        <f t="shared" si="3"/>
        <v>1.3379966083123976E-3</v>
      </c>
      <c r="AJ73" s="32">
        <f t="shared" si="3"/>
        <v>3.2293752884862198E-3</v>
      </c>
      <c r="AK73" s="33">
        <f t="shared" si="6"/>
        <v>7.5853620699800465E-4</v>
      </c>
    </row>
    <row r="74" spans="1:37" x14ac:dyDescent="0.3">
      <c r="A74" t="s">
        <v>46</v>
      </c>
      <c r="B74" s="1">
        <v>2017</v>
      </c>
      <c r="C74" s="1" t="str">
        <f t="shared" si="5"/>
        <v>Delaware, 2017</v>
      </c>
      <c r="D74" s="27">
        <v>104</v>
      </c>
      <c r="E74" s="27">
        <v>39</v>
      </c>
      <c r="F74" s="27">
        <v>45</v>
      </c>
      <c r="G74" s="27">
        <v>48</v>
      </c>
      <c r="H74" s="27">
        <v>73</v>
      </c>
      <c r="I74" s="27">
        <v>71</v>
      </c>
      <c r="J74" s="27">
        <v>46</v>
      </c>
      <c r="K74" s="27">
        <v>47</v>
      </c>
      <c r="L74" s="27">
        <v>53</v>
      </c>
      <c r="M74" s="27">
        <v>55</v>
      </c>
      <c r="N74" s="27">
        <v>59</v>
      </c>
      <c r="O74" s="28">
        <v>640</v>
      </c>
      <c r="P74" s="29">
        <v>55282</v>
      </c>
      <c r="Q74" s="30">
        <v>114024</v>
      </c>
      <c r="R74" s="30">
        <v>122886</v>
      </c>
      <c r="S74" s="30">
        <v>125241</v>
      </c>
      <c r="T74" s="30">
        <v>110313</v>
      </c>
      <c r="U74" s="30">
        <v>128392</v>
      </c>
      <c r="V74" s="30">
        <v>127029</v>
      </c>
      <c r="W74" s="30">
        <v>95605</v>
      </c>
      <c r="X74" s="30">
        <v>46641</v>
      </c>
      <c r="Y74" s="30">
        <v>18319</v>
      </c>
      <c r="Z74" s="31">
        <v>943732</v>
      </c>
      <c r="AA74" s="32">
        <f t="shared" si="4"/>
        <v>1.8812633406895553E-3</v>
      </c>
      <c r="AB74" s="32">
        <f t="shared" si="4"/>
        <v>3.4203325615659859E-4</v>
      </c>
      <c r="AC74" s="32">
        <f t="shared" si="4"/>
        <v>3.6619305697963966E-4</v>
      </c>
      <c r="AD74" s="32">
        <f t="shared" si="4"/>
        <v>3.8326107265192709E-4</v>
      </c>
      <c r="AE74" s="32">
        <f t="shared" si="4"/>
        <v>6.6175337448895412E-4</v>
      </c>
      <c r="AF74" s="32">
        <f t="shared" si="3"/>
        <v>5.5299395600972028E-4</v>
      </c>
      <c r="AG74" s="32">
        <f t="shared" si="3"/>
        <v>3.6212203512583739E-4</v>
      </c>
      <c r="AH74" s="32">
        <f t="shared" si="3"/>
        <v>4.9160608754772244E-4</v>
      </c>
      <c r="AI74" s="32">
        <f t="shared" si="3"/>
        <v>1.1363392723140586E-3</v>
      </c>
      <c r="AJ74" s="32">
        <f t="shared" si="3"/>
        <v>3.0023472896992193E-3</v>
      </c>
      <c r="AK74" s="33">
        <f t="shared" si="6"/>
        <v>6.781586297804885E-4</v>
      </c>
    </row>
    <row r="75" spans="1:37" x14ac:dyDescent="0.3">
      <c r="A75" t="s">
        <v>47</v>
      </c>
      <c r="B75" s="1">
        <v>2009</v>
      </c>
      <c r="C75" s="1" t="str">
        <f t="shared" si="5"/>
        <v>District of Columbia, 2009</v>
      </c>
      <c r="D75" s="27">
        <v>127</v>
      </c>
      <c r="E75" s="27">
        <v>60</v>
      </c>
      <c r="F75" s="27">
        <v>70</v>
      </c>
      <c r="G75" s="27">
        <v>61</v>
      </c>
      <c r="H75" s="27">
        <v>30</v>
      </c>
      <c r="I75" s="27">
        <v>45</v>
      </c>
      <c r="J75" s="27">
        <v>46</v>
      </c>
      <c r="K75" s="27">
        <v>49</v>
      </c>
      <c r="L75" s="27">
        <v>45</v>
      </c>
      <c r="M75" s="27">
        <v>50</v>
      </c>
      <c r="N75" s="27">
        <v>49</v>
      </c>
      <c r="O75" s="28">
        <v>632</v>
      </c>
      <c r="P75" s="29">
        <v>35894.413</v>
      </c>
      <c r="Q75" s="30">
        <v>59431.733</v>
      </c>
      <c r="R75" s="30">
        <v>89441.815999999992</v>
      </c>
      <c r="S75" s="30">
        <v>105917.94</v>
      </c>
      <c r="T75" s="30">
        <v>86499.650999999998</v>
      </c>
      <c r="U75" s="30">
        <v>78261.589000000007</v>
      </c>
      <c r="V75" s="30">
        <v>64139.197</v>
      </c>
      <c r="W75" s="30">
        <v>36482.845999999998</v>
      </c>
      <c r="X75" s="30">
        <v>23537.32</v>
      </c>
      <c r="Y75" s="30">
        <v>10003.361000000001</v>
      </c>
      <c r="Z75" s="31">
        <v>588433</v>
      </c>
      <c r="AA75" s="32">
        <f t="shared" si="4"/>
        <v>3.5381550883698807E-3</v>
      </c>
      <c r="AB75" s="32">
        <f t="shared" si="4"/>
        <v>1.0095616764195653E-3</v>
      </c>
      <c r="AC75" s="32">
        <f t="shared" si="4"/>
        <v>7.8263169432964119E-4</v>
      </c>
      <c r="AD75" s="32">
        <f t="shared" si="4"/>
        <v>5.7591754522416129E-4</v>
      </c>
      <c r="AE75" s="32">
        <f t="shared" si="4"/>
        <v>3.468222085659051E-4</v>
      </c>
      <c r="AF75" s="32">
        <f t="shared" si="3"/>
        <v>5.7499471420136895E-4</v>
      </c>
      <c r="AG75" s="32">
        <f t="shared" si="3"/>
        <v>7.1719014505279826E-4</v>
      </c>
      <c r="AH75" s="32">
        <f t="shared" si="3"/>
        <v>1.3430969722044164E-3</v>
      </c>
      <c r="AI75" s="32">
        <f t="shared" si="3"/>
        <v>1.9118574247195517E-3</v>
      </c>
      <c r="AJ75" s="32">
        <f t="shared" si="3"/>
        <v>4.9983200646262788E-3</v>
      </c>
      <c r="AK75" s="33">
        <f t="shared" si="6"/>
        <v>1.0740390154868949E-3</v>
      </c>
    </row>
    <row r="76" spans="1:37" x14ac:dyDescent="0.3">
      <c r="A76" t="s">
        <v>47</v>
      </c>
      <c r="B76" s="1">
        <v>2010</v>
      </c>
      <c r="C76" s="1" t="str">
        <f t="shared" si="5"/>
        <v>District of Columbia, 2010</v>
      </c>
      <c r="D76" s="27">
        <v>113</v>
      </c>
      <c r="E76" s="27">
        <v>49</v>
      </c>
      <c r="F76" s="27">
        <v>42</v>
      </c>
      <c r="G76" s="27">
        <v>67</v>
      </c>
      <c r="H76" s="27">
        <v>45</v>
      </c>
      <c r="I76" s="27">
        <v>53</v>
      </c>
      <c r="J76" s="27">
        <v>59</v>
      </c>
      <c r="K76" s="27">
        <v>53</v>
      </c>
      <c r="L76" s="27">
        <v>52</v>
      </c>
      <c r="M76" s="27">
        <v>55</v>
      </c>
      <c r="N76" s="27">
        <v>67</v>
      </c>
      <c r="O76" s="28">
        <v>655</v>
      </c>
      <c r="P76" s="29">
        <v>32142</v>
      </c>
      <c r="Q76" s="30">
        <v>53180.4</v>
      </c>
      <c r="R76" s="30">
        <v>99932.4</v>
      </c>
      <c r="S76" s="30">
        <v>113958</v>
      </c>
      <c r="T76" s="30">
        <v>81816</v>
      </c>
      <c r="U76" s="30">
        <v>75387.600000000006</v>
      </c>
      <c r="V76" s="30">
        <v>61946.399999999994</v>
      </c>
      <c r="W76" s="30">
        <v>35648.400000000001</v>
      </c>
      <c r="X76" s="30">
        <v>22207.200000000001</v>
      </c>
      <c r="Y76" s="30">
        <v>9350.4</v>
      </c>
      <c r="Z76" s="31">
        <v>584400</v>
      </c>
      <c r="AA76" s="32">
        <f t="shared" si="4"/>
        <v>3.5156493062037208E-3</v>
      </c>
      <c r="AB76" s="32">
        <f t="shared" si="4"/>
        <v>9.2139209182330335E-4</v>
      </c>
      <c r="AC76" s="32">
        <f t="shared" si="4"/>
        <v>4.2028411205975242E-4</v>
      </c>
      <c r="AD76" s="32">
        <f t="shared" si="4"/>
        <v>5.8793590621106023E-4</v>
      </c>
      <c r="AE76" s="32">
        <f t="shared" si="4"/>
        <v>5.5001466705778817E-4</v>
      </c>
      <c r="AF76" s="32">
        <f t="shared" si="3"/>
        <v>7.0303339010659572E-4</v>
      </c>
      <c r="AG76" s="32">
        <f t="shared" si="3"/>
        <v>9.5243629976883245E-4</v>
      </c>
      <c r="AH76" s="32">
        <f t="shared" si="3"/>
        <v>1.4867427430123091E-3</v>
      </c>
      <c r="AI76" s="32">
        <f t="shared" si="3"/>
        <v>2.3415829100471917E-3</v>
      </c>
      <c r="AJ76" s="32">
        <f t="shared" si="3"/>
        <v>5.882101300479124E-3</v>
      </c>
      <c r="AK76" s="33">
        <f t="shared" si="6"/>
        <v>1.120807665982204E-3</v>
      </c>
    </row>
    <row r="77" spans="1:37" x14ac:dyDescent="0.3">
      <c r="A77" t="s">
        <v>47</v>
      </c>
      <c r="B77" s="1">
        <v>2011</v>
      </c>
      <c r="C77" s="1" t="str">
        <f t="shared" si="5"/>
        <v>District of Columbia, 2011</v>
      </c>
      <c r="D77" s="27">
        <v>111</v>
      </c>
      <c r="E77" s="27">
        <v>47</v>
      </c>
      <c r="F77" s="27">
        <v>52</v>
      </c>
      <c r="G77" s="27">
        <v>47</v>
      </c>
      <c r="H77" s="27">
        <v>48</v>
      </c>
      <c r="I77" s="27">
        <v>79</v>
      </c>
      <c r="J77" s="27">
        <v>47</v>
      </c>
      <c r="K77" s="27">
        <v>41</v>
      </c>
      <c r="L77" s="27">
        <v>60</v>
      </c>
      <c r="M77" s="27">
        <v>58</v>
      </c>
      <c r="N77" s="27">
        <v>38</v>
      </c>
      <c r="O77" s="28">
        <v>628</v>
      </c>
      <c r="P77" s="29">
        <v>33261.480000000003</v>
      </c>
      <c r="Q77" s="30">
        <v>52268.04</v>
      </c>
      <c r="R77" s="30">
        <v>100972.35</v>
      </c>
      <c r="S77" s="30">
        <v>119384.955</v>
      </c>
      <c r="T77" s="30">
        <v>81965.790000000008</v>
      </c>
      <c r="U77" s="30">
        <v>75432.285000000003</v>
      </c>
      <c r="V77" s="30">
        <v>63553.184999999998</v>
      </c>
      <c r="W77" s="30">
        <v>35637.300000000003</v>
      </c>
      <c r="X77" s="30">
        <v>21382.38</v>
      </c>
      <c r="Y77" s="30">
        <v>10097.235000000001</v>
      </c>
      <c r="Z77" s="31">
        <v>593955</v>
      </c>
      <c r="AA77" s="32">
        <f t="shared" si="4"/>
        <v>3.3371936546419457E-3</v>
      </c>
      <c r="AB77" s="32">
        <f t="shared" si="4"/>
        <v>8.9921106664799368E-4</v>
      </c>
      <c r="AC77" s="32">
        <f t="shared" si="4"/>
        <v>5.1499247071104114E-4</v>
      </c>
      <c r="AD77" s="32">
        <f t="shared" si="4"/>
        <v>3.9368444708966888E-4</v>
      </c>
      <c r="AE77" s="32">
        <f t="shared" si="4"/>
        <v>5.8561016736372571E-4</v>
      </c>
      <c r="AF77" s="32">
        <f t="shared" si="3"/>
        <v>1.047296923326663E-3</v>
      </c>
      <c r="AG77" s="32">
        <f t="shared" si="3"/>
        <v>7.3953807350489204E-4</v>
      </c>
      <c r="AH77" s="32">
        <f t="shared" si="3"/>
        <v>1.1504799746333194E-3</v>
      </c>
      <c r="AI77" s="32">
        <f t="shared" si="3"/>
        <v>2.8060487186178525E-3</v>
      </c>
      <c r="AJ77" s="32">
        <f t="shared" si="3"/>
        <v>5.7441467887000743E-3</v>
      </c>
      <c r="AK77" s="33">
        <f t="shared" si="6"/>
        <v>1.0573191571752068E-3</v>
      </c>
    </row>
    <row r="78" spans="1:37" x14ac:dyDescent="0.3">
      <c r="A78" t="s">
        <v>47</v>
      </c>
      <c r="B78" s="1">
        <v>2012</v>
      </c>
      <c r="C78" s="1" t="str">
        <f t="shared" si="5"/>
        <v>District of Columbia, 2012</v>
      </c>
      <c r="D78" s="27">
        <v>129</v>
      </c>
      <c r="E78" s="27">
        <v>60</v>
      </c>
      <c r="F78" s="27">
        <v>64</v>
      </c>
      <c r="G78" s="27">
        <v>65</v>
      </c>
      <c r="H78" s="27">
        <v>63</v>
      </c>
      <c r="I78" s="27">
        <v>68</v>
      </c>
      <c r="J78" s="27">
        <v>64</v>
      </c>
      <c r="K78" s="27">
        <v>60</v>
      </c>
      <c r="L78" s="27">
        <v>48</v>
      </c>
      <c r="M78" s="27">
        <v>54</v>
      </c>
      <c r="N78" s="27">
        <v>61</v>
      </c>
      <c r="O78" s="28">
        <v>736</v>
      </c>
      <c r="P78" s="29">
        <v>34528.262999999999</v>
      </c>
      <c r="Q78" s="30">
        <v>52095.274000000005</v>
      </c>
      <c r="R78" s="30">
        <v>101161.753</v>
      </c>
      <c r="S78" s="30">
        <v>125392.113</v>
      </c>
      <c r="T78" s="30">
        <v>82383.224000000002</v>
      </c>
      <c r="U78" s="30">
        <v>75114.116000000009</v>
      </c>
      <c r="V78" s="30">
        <v>64816.213000000003</v>
      </c>
      <c r="W78" s="30">
        <v>37557.058000000005</v>
      </c>
      <c r="X78" s="30">
        <v>21807.324000000001</v>
      </c>
      <c r="Y78" s="30">
        <v>10297.903</v>
      </c>
      <c r="Z78" s="31">
        <v>605759</v>
      </c>
      <c r="AA78" s="32">
        <f t="shared" si="4"/>
        <v>3.7360697814425243E-3</v>
      </c>
      <c r="AB78" s="32">
        <f t="shared" si="4"/>
        <v>1.151735952094234E-3</v>
      </c>
      <c r="AC78" s="32">
        <f t="shared" si="4"/>
        <v>6.3265016769727199E-4</v>
      </c>
      <c r="AD78" s="32">
        <f t="shared" si="4"/>
        <v>5.1837391080569793E-4</v>
      </c>
      <c r="AE78" s="32">
        <f t="shared" si="4"/>
        <v>7.6471879760374516E-4</v>
      </c>
      <c r="AF78" s="32">
        <f t="shared" si="3"/>
        <v>9.0528922686116666E-4</v>
      </c>
      <c r="AG78" s="32">
        <f t="shared" si="3"/>
        <v>9.8740727107891977E-4</v>
      </c>
      <c r="AH78" s="32">
        <f t="shared" si="3"/>
        <v>1.5975692238726471E-3</v>
      </c>
      <c r="AI78" s="32">
        <f t="shared" si="3"/>
        <v>2.2010953751134253E-3</v>
      </c>
      <c r="AJ78" s="32">
        <f t="shared" si="3"/>
        <v>5.2437860407113955E-3</v>
      </c>
      <c r="AK78" s="33">
        <f t="shared" si="6"/>
        <v>1.2150046470626107E-3</v>
      </c>
    </row>
    <row r="79" spans="1:37" x14ac:dyDescent="0.3">
      <c r="A79" t="s">
        <v>47</v>
      </c>
      <c r="B79" s="1">
        <v>2013</v>
      </c>
      <c r="C79" s="1" t="str">
        <f t="shared" si="5"/>
        <v>District of Columbia, 2013</v>
      </c>
      <c r="D79" s="27">
        <v>116</v>
      </c>
      <c r="E79" s="27">
        <v>43</v>
      </c>
      <c r="F79" s="27">
        <v>46</v>
      </c>
      <c r="G79" s="27">
        <v>41</v>
      </c>
      <c r="H79" s="27">
        <v>58</v>
      </c>
      <c r="I79" s="27">
        <v>59</v>
      </c>
      <c r="J79" s="27">
        <v>34</v>
      </c>
      <c r="K79" s="27">
        <v>51</v>
      </c>
      <c r="L79" s="27">
        <v>58</v>
      </c>
      <c r="M79" s="27">
        <v>70</v>
      </c>
      <c r="N79" s="27">
        <v>63</v>
      </c>
      <c r="O79" s="28">
        <v>639</v>
      </c>
      <c r="P79" s="29">
        <v>36542.889000000003</v>
      </c>
      <c r="Q79" s="30">
        <v>52027.164000000004</v>
      </c>
      <c r="R79" s="30">
        <v>99718.731</v>
      </c>
      <c r="S79" s="30">
        <v>133164.76500000001</v>
      </c>
      <c r="T79" s="30">
        <v>84234.456000000006</v>
      </c>
      <c r="U79" s="30">
        <v>76182.633000000002</v>
      </c>
      <c r="V79" s="30">
        <v>65653.326000000001</v>
      </c>
      <c r="W79" s="30">
        <v>38401.002</v>
      </c>
      <c r="X79" s="30">
        <v>21677.985000000001</v>
      </c>
      <c r="Y79" s="30">
        <v>9909.9359999999997</v>
      </c>
      <c r="Z79" s="31">
        <v>619371</v>
      </c>
      <c r="AA79" s="32">
        <f t="shared" si="4"/>
        <v>3.1743521974959337E-3</v>
      </c>
      <c r="AB79" s="32">
        <f t="shared" si="4"/>
        <v>8.2649133056723976E-4</v>
      </c>
      <c r="AC79" s="32">
        <f t="shared" si="4"/>
        <v>4.6129748682822687E-4</v>
      </c>
      <c r="AD79" s="32">
        <f t="shared" si="4"/>
        <v>3.078892528365142E-4</v>
      </c>
      <c r="AE79" s="32">
        <f t="shared" si="4"/>
        <v>6.8855433695683859E-4</v>
      </c>
      <c r="AF79" s="32">
        <f t="shared" si="3"/>
        <v>7.7445472382137279E-4</v>
      </c>
      <c r="AG79" s="32">
        <f t="shared" si="3"/>
        <v>5.1787170691093391E-4</v>
      </c>
      <c r="AH79" s="32">
        <f t="shared" si="3"/>
        <v>1.3280903451425563E-3</v>
      </c>
      <c r="AI79" s="32">
        <f t="shared" si="3"/>
        <v>2.6755254236037157E-3</v>
      </c>
      <c r="AJ79" s="32">
        <f t="shared" si="3"/>
        <v>7.0636177670572245E-3</v>
      </c>
      <c r="AK79" s="33">
        <f t="shared" si="6"/>
        <v>1.0316918292913293E-3</v>
      </c>
    </row>
    <row r="80" spans="1:37" x14ac:dyDescent="0.3">
      <c r="A80" t="s">
        <v>47</v>
      </c>
      <c r="B80" s="1">
        <v>2014</v>
      </c>
      <c r="C80" s="1" t="str">
        <f t="shared" si="5"/>
        <v>District of Columbia, 2014</v>
      </c>
      <c r="D80" s="27">
        <v>112</v>
      </c>
      <c r="E80" s="27">
        <v>60</v>
      </c>
      <c r="F80" s="27">
        <v>47</v>
      </c>
      <c r="G80" s="27">
        <v>45</v>
      </c>
      <c r="H80" s="27">
        <v>72</v>
      </c>
      <c r="I80" s="27">
        <v>36</v>
      </c>
      <c r="J80" s="27">
        <v>43</v>
      </c>
      <c r="K80" s="27">
        <v>52</v>
      </c>
      <c r="L80" s="27">
        <v>53</v>
      </c>
      <c r="M80" s="27">
        <v>47</v>
      </c>
      <c r="N80" s="27">
        <v>51</v>
      </c>
      <c r="O80" s="28">
        <v>618</v>
      </c>
      <c r="P80" s="29">
        <v>38657.896000000001</v>
      </c>
      <c r="Q80" s="30">
        <v>53233.824000000001</v>
      </c>
      <c r="R80" s="30">
        <v>98862.815999999992</v>
      </c>
      <c r="S80" s="30">
        <v>140055.65600000002</v>
      </c>
      <c r="T80" s="30">
        <v>87455.567999999999</v>
      </c>
      <c r="U80" s="30">
        <v>76048.320000000007</v>
      </c>
      <c r="V80" s="30">
        <v>67809.752000000008</v>
      </c>
      <c r="W80" s="30">
        <v>39925.368000000002</v>
      </c>
      <c r="X80" s="30">
        <v>21547.023999999998</v>
      </c>
      <c r="Y80" s="30">
        <v>10139.776</v>
      </c>
      <c r="Z80" s="31">
        <v>633736</v>
      </c>
      <c r="AA80" s="32">
        <f t="shared" si="4"/>
        <v>2.8972088910374223E-3</v>
      </c>
      <c r="AB80" s="32">
        <f t="shared" si="4"/>
        <v>1.1271029486816502E-3</v>
      </c>
      <c r="AC80" s="32">
        <f t="shared" si="4"/>
        <v>4.7540624373879867E-4</v>
      </c>
      <c r="AD80" s="32">
        <f t="shared" si="4"/>
        <v>3.2130084057440701E-4</v>
      </c>
      <c r="AE80" s="32">
        <f t="shared" si="4"/>
        <v>8.2327519729790105E-4</v>
      </c>
      <c r="AF80" s="32">
        <f t="shared" ref="AF80:AJ143" si="7">I80/U80</f>
        <v>4.7338323844629306E-4</v>
      </c>
      <c r="AG80" s="32">
        <f t="shared" si="7"/>
        <v>6.3412707953864797E-4</v>
      </c>
      <c r="AH80" s="32">
        <f t="shared" si="7"/>
        <v>1.302430074032129E-3</v>
      </c>
      <c r="AI80" s="32">
        <f t="shared" si="7"/>
        <v>2.4597364350640721E-3</v>
      </c>
      <c r="AJ80" s="32">
        <f t="shared" si="7"/>
        <v>4.6352108764532865E-3</v>
      </c>
      <c r="AK80" s="33">
        <f t="shared" si="6"/>
        <v>9.7516947119936372E-4</v>
      </c>
    </row>
    <row r="81" spans="1:37" x14ac:dyDescent="0.3">
      <c r="A81" t="s">
        <v>47</v>
      </c>
      <c r="B81" s="1">
        <v>2015</v>
      </c>
      <c r="C81" s="1" t="str">
        <f t="shared" si="5"/>
        <v>District of Columbia, 2015</v>
      </c>
      <c r="D81" s="27">
        <v>101</v>
      </c>
      <c r="E81" s="27">
        <v>50</v>
      </c>
      <c r="F81" s="27">
        <v>41</v>
      </c>
      <c r="G81" s="27">
        <v>27</v>
      </c>
      <c r="H81" s="27">
        <v>41</v>
      </c>
      <c r="I81" s="27">
        <v>63</v>
      </c>
      <c r="J81" s="27">
        <v>44</v>
      </c>
      <c r="K81" s="27">
        <v>57</v>
      </c>
      <c r="L81" s="27">
        <v>49</v>
      </c>
      <c r="M81" s="27">
        <v>60</v>
      </c>
      <c r="N81" s="27">
        <v>45</v>
      </c>
      <c r="O81" s="28">
        <v>578</v>
      </c>
      <c r="P81" s="29">
        <v>40144.008000000002</v>
      </c>
      <c r="Q81" s="30">
        <v>55036.14</v>
      </c>
      <c r="R81" s="30">
        <v>97770.084000000003</v>
      </c>
      <c r="S81" s="30">
        <v>145036.41600000003</v>
      </c>
      <c r="T81" s="30">
        <v>90000.276000000013</v>
      </c>
      <c r="U81" s="30">
        <v>77050.59599999999</v>
      </c>
      <c r="V81" s="30">
        <v>68633.304000000004</v>
      </c>
      <c r="W81" s="30">
        <v>41438.975999999995</v>
      </c>
      <c r="X81" s="30">
        <v>22014.455999999998</v>
      </c>
      <c r="Y81" s="30">
        <v>10359.744000000001</v>
      </c>
      <c r="Z81" s="31">
        <v>647484</v>
      </c>
      <c r="AA81" s="32">
        <f t="shared" ref="AA81:AE144" si="8">D81/P81</f>
        <v>2.5159421052327411E-3</v>
      </c>
      <c r="AB81" s="32">
        <f t="shared" si="8"/>
        <v>9.0849394597804277E-4</v>
      </c>
      <c r="AC81" s="32">
        <f t="shared" si="8"/>
        <v>4.1935117903754688E-4</v>
      </c>
      <c r="AD81" s="32">
        <f t="shared" si="8"/>
        <v>1.8616014339460784E-4</v>
      </c>
      <c r="AE81" s="32">
        <f t="shared" si="8"/>
        <v>4.5555415852280268E-4</v>
      </c>
      <c r="AF81" s="32">
        <f t="shared" si="7"/>
        <v>8.1764455138023863E-4</v>
      </c>
      <c r="AG81" s="32">
        <f t="shared" si="7"/>
        <v>6.4108818074676982E-4</v>
      </c>
      <c r="AH81" s="32">
        <f t="shared" si="7"/>
        <v>1.3755166150823807E-3</v>
      </c>
      <c r="AI81" s="32">
        <f t="shared" si="7"/>
        <v>2.225810167646205E-3</v>
      </c>
      <c r="AJ81" s="32">
        <f t="shared" si="7"/>
        <v>5.7916489056100227E-3</v>
      </c>
      <c r="AK81" s="33">
        <f t="shared" si="6"/>
        <v>8.926861513180248E-4</v>
      </c>
    </row>
    <row r="82" spans="1:37" x14ac:dyDescent="0.3">
      <c r="A82" t="s">
        <v>47</v>
      </c>
      <c r="B82" s="1">
        <v>2016</v>
      </c>
      <c r="C82" s="1" t="str">
        <f t="shared" si="5"/>
        <v>District of Columbia, 2016</v>
      </c>
      <c r="D82" s="27">
        <v>97</v>
      </c>
      <c r="E82" s="27">
        <v>56</v>
      </c>
      <c r="F82" s="27">
        <v>46</v>
      </c>
      <c r="G82" s="27">
        <v>45</v>
      </c>
      <c r="H82" s="27">
        <v>47</v>
      </c>
      <c r="I82" s="27">
        <v>61</v>
      </c>
      <c r="J82" s="27">
        <v>55</v>
      </c>
      <c r="K82" s="27">
        <v>50</v>
      </c>
      <c r="L82" s="27">
        <v>45</v>
      </c>
      <c r="M82" s="27">
        <v>34</v>
      </c>
      <c r="N82" s="27">
        <v>51</v>
      </c>
      <c r="O82" s="28">
        <v>587</v>
      </c>
      <c r="P82" s="29">
        <v>42176.576000000001</v>
      </c>
      <c r="Q82" s="30">
        <v>57333.782999999996</v>
      </c>
      <c r="R82" s="30">
        <v>96874.323000000004</v>
      </c>
      <c r="S82" s="30">
        <v>149595.04300000001</v>
      </c>
      <c r="T82" s="30">
        <v>92920.269</v>
      </c>
      <c r="U82" s="30">
        <v>77104.053</v>
      </c>
      <c r="V82" s="30">
        <v>69195.945000000007</v>
      </c>
      <c r="W82" s="30">
        <v>42835.584999999999</v>
      </c>
      <c r="X82" s="30">
        <v>21747.296999999999</v>
      </c>
      <c r="Y82" s="30">
        <v>10544.144</v>
      </c>
      <c r="Z82" s="31">
        <v>659009</v>
      </c>
      <c r="AA82" s="32">
        <f t="shared" si="8"/>
        <v>2.2998547819529018E-3</v>
      </c>
      <c r="AB82" s="32">
        <f t="shared" si="8"/>
        <v>9.7673652547922759E-4</v>
      </c>
      <c r="AC82" s="32">
        <f t="shared" si="8"/>
        <v>4.7484202805732123E-4</v>
      </c>
      <c r="AD82" s="32">
        <f t="shared" si="8"/>
        <v>3.0081210645462362E-4</v>
      </c>
      <c r="AE82" s="32">
        <f t="shared" si="8"/>
        <v>5.0580998640888564E-4</v>
      </c>
      <c r="AF82" s="32">
        <f t="shared" si="7"/>
        <v>7.9113869669082118E-4</v>
      </c>
      <c r="AG82" s="32">
        <f t="shared" si="7"/>
        <v>7.9484426435682024E-4</v>
      </c>
      <c r="AH82" s="32">
        <f t="shared" si="7"/>
        <v>1.1672538147897362E-3</v>
      </c>
      <c r="AI82" s="32">
        <f t="shared" si="7"/>
        <v>2.0692226716727143E-3</v>
      </c>
      <c r="AJ82" s="32">
        <f t="shared" si="7"/>
        <v>3.224538663356646E-3</v>
      </c>
      <c r="AK82" s="33">
        <f t="shared" si="6"/>
        <v>8.907313860660477E-4</v>
      </c>
    </row>
    <row r="83" spans="1:37" x14ac:dyDescent="0.3">
      <c r="A83" t="s">
        <v>47</v>
      </c>
      <c r="B83" s="1">
        <v>2017</v>
      </c>
      <c r="C83" s="1" t="str">
        <f t="shared" si="5"/>
        <v>District of Columbia, 2017</v>
      </c>
      <c r="D83" s="27">
        <v>119</v>
      </c>
      <c r="E83" s="27">
        <v>61</v>
      </c>
      <c r="F83" s="27">
        <v>46</v>
      </c>
      <c r="G83" s="27">
        <v>49</v>
      </c>
      <c r="H83" s="27">
        <v>61</v>
      </c>
      <c r="I83" s="27">
        <v>59</v>
      </c>
      <c r="J83" s="27">
        <v>59</v>
      </c>
      <c r="K83" s="27">
        <v>54</v>
      </c>
      <c r="L83" s="27">
        <v>40</v>
      </c>
      <c r="M83" s="27">
        <v>64</v>
      </c>
      <c r="N83" s="27">
        <v>43</v>
      </c>
      <c r="O83" s="28">
        <v>655</v>
      </c>
      <c r="P83" s="29">
        <v>43607</v>
      </c>
      <c r="Q83" s="30">
        <v>58900</v>
      </c>
      <c r="R83" s="30">
        <v>92041</v>
      </c>
      <c r="S83" s="30">
        <v>156390</v>
      </c>
      <c r="T83" s="30">
        <v>95604</v>
      </c>
      <c r="U83" s="30">
        <v>76580</v>
      </c>
      <c r="V83" s="30">
        <v>69500</v>
      </c>
      <c r="W83" s="30">
        <v>45582</v>
      </c>
      <c r="X83" s="30">
        <v>23058</v>
      </c>
      <c r="Y83" s="30">
        <v>11129</v>
      </c>
      <c r="Z83" s="31">
        <v>672391</v>
      </c>
      <c r="AA83" s="32">
        <f t="shared" si="8"/>
        <v>2.7289196688605041E-3</v>
      </c>
      <c r="AB83" s="32">
        <f t="shared" si="8"/>
        <v>1.035653650254669E-3</v>
      </c>
      <c r="AC83" s="32">
        <f t="shared" si="8"/>
        <v>4.9977727317173867E-4</v>
      </c>
      <c r="AD83" s="32">
        <f t="shared" si="8"/>
        <v>3.1331926593771982E-4</v>
      </c>
      <c r="AE83" s="32">
        <f t="shared" si="8"/>
        <v>6.3804861721266889E-4</v>
      </c>
      <c r="AF83" s="32">
        <f t="shared" si="7"/>
        <v>7.7043614520762597E-4</v>
      </c>
      <c r="AG83" s="32">
        <f t="shared" si="7"/>
        <v>8.4892086330935247E-4</v>
      </c>
      <c r="AH83" s="32">
        <f t="shared" si="7"/>
        <v>1.1846781624325392E-3</v>
      </c>
      <c r="AI83" s="32">
        <f t="shared" si="7"/>
        <v>1.7347558331164889E-3</v>
      </c>
      <c r="AJ83" s="32">
        <f t="shared" si="7"/>
        <v>5.7507413064965401E-3</v>
      </c>
      <c r="AK83" s="33">
        <f t="shared" si="6"/>
        <v>9.7413558480110532E-4</v>
      </c>
    </row>
    <row r="84" spans="1:37" x14ac:dyDescent="0.3">
      <c r="A84" t="s">
        <v>48</v>
      </c>
      <c r="B84" s="1">
        <v>2009</v>
      </c>
      <c r="C84" s="1" t="str">
        <f t="shared" si="5"/>
        <v>Florida, 2009</v>
      </c>
      <c r="D84" s="27">
        <v>113</v>
      </c>
      <c r="E84" s="27">
        <v>53</v>
      </c>
      <c r="F84" s="27">
        <v>56</v>
      </c>
      <c r="G84" s="27">
        <v>72</v>
      </c>
      <c r="H84" s="27">
        <v>69</v>
      </c>
      <c r="I84" s="27">
        <v>171</v>
      </c>
      <c r="J84" s="27">
        <v>201</v>
      </c>
      <c r="K84" s="27">
        <v>284</v>
      </c>
      <c r="L84" s="27">
        <v>604</v>
      </c>
      <c r="M84" s="27">
        <v>973</v>
      </c>
      <c r="N84" s="27">
        <v>69</v>
      </c>
      <c r="O84" s="28">
        <v>2665</v>
      </c>
      <c r="P84" s="29">
        <v>1145650.9979999999</v>
      </c>
      <c r="Q84" s="30">
        <v>2200526.0930000003</v>
      </c>
      <c r="R84" s="30">
        <v>2347623.716</v>
      </c>
      <c r="S84" s="30">
        <v>2290188.2549999999</v>
      </c>
      <c r="T84" s="30">
        <v>2518290.550999999</v>
      </c>
      <c r="U84" s="30">
        <v>2560323.9870000007</v>
      </c>
      <c r="V84" s="30">
        <v>2092147.9109999994</v>
      </c>
      <c r="W84" s="30">
        <v>1478978.5720000002</v>
      </c>
      <c r="X84" s="30">
        <v>1165060.9329999997</v>
      </c>
      <c r="Y84" s="30">
        <v>427425.42700000003</v>
      </c>
      <c r="Z84" s="31">
        <v>18222420</v>
      </c>
      <c r="AA84" s="32">
        <f t="shared" si="8"/>
        <v>9.8633877330240848E-5</v>
      </c>
      <c r="AB84" s="32">
        <f t="shared" si="8"/>
        <v>2.4085149532466823E-5</v>
      </c>
      <c r="AC84" s="32">
        <f t="shared" si="8"/>
        <v>2.3853907940330246E-5</v>
      </c>
      <c r="AD84" s="32">
        <f t="shared" si="8"/>
        <v>3.1438463559843905E-5</v>
      </c>
      <c r="AE84" s="32">
        <f t="shared" si="8"/>
        <v>2.7399538934298301E-5</v>
      </c>
      <c r="AF84" s="32">
        <f t="shared" si="7"/>
        <v>6.6788422429446212E-5</v>
      </c>
      <c r="AG84" s="32">
        <f t="shared" si="7"/>
        <v>9.6073513226857158E-5</v>
      </c>
      <c r="AH84" s="32">
        <f t="shared" si="7"/>
        <v>1.9202441832267463E-4</v>
      </c>
      <c r="AI84" s="32">
        <f t="shared" si="7"/>
        <v>5.184278202898081E-4</v>
      </c>
      <c r="AJ84" s="32">
        <f t="shared" si="7"/>
        <v>2.2764204900706572E-3</v>
      </c>
      <c r="AK84" s="33">
        <f t="shared" si="6"/>
        <v>1.4624841266966737E-4</v>
      </c>
    </row>
    <row r="85" spans="1:37" x14ac:dyDescent="0.3">
      <c r="A85" t="s">
        <v>48</v>
      </c>
      <c r="B85" s="1">
        <v>2010</v>
      </c>
      <c r="C85" s="1" t="str">
        <f t="shared" si="5"/>
        <v>Florida, 2010</v>
      </c>
      <c r="D85" s="27">
        <v>113</v>
      </c>
      <c r="E85" s="27">
        <v>66</v>
      </c>
      <c r="F85" s="27">
        <v>60</v>
      </c>
      <c r="G85" s="27">
        <v>63</v>
      </c>
      <c r="H85" s="27">
        <v>47</v>
      </c>
      <c r="I85" s="27">
        <v>86</v>
      </c>
      <c r="J85" s="27">
        <v>151</v>
      </c>
      <c r="K85" s="27">
        <v>294</v>
      </c>
      <c r="L85" s="27">
        <v>648</v>
      </c>
      <c r="M85" s="27">
        <v>962</v>
      </c>
      <c r="N85" s="27">
        <v>74</v>
      </c>
      <c r="O85" s="28">
        <v>2564</v>
      </c>
      <c r="P85" s="29">
        <v>1080804.4549999998</v>
      </c>
      <c r="Q85" s="30">
        <v>2202014.5190000008</v>
      </c>
      <c r="R85" s="30">
        <v>2438642.669999999</v>
      </c>
      <c r="S85" s="30">
        <v>2247179.1980000003</v>
      </c>
      <c r="T85" s="30">
        <v>2505523.8579999995</v>
      </c>
      <c r="U85" s="30">
        <v>2664555.5489999996</v>
      </c>
      <c r="V85" s="30">
        <v>2222352.8969999999</v>
      </c>
      <c r="W85" s="30">
        <v>1633049.8600000003</v>
      </c>
      <c r="X85" s="30">
        <v>1086759.7380000001</v>
      </c>
      <c r="Y85" s="30">
        <v>412467.30200000003</v>
      </c>
      <c r="Z85" s="31">
        <v>18498754</v>
      </c>
      <c r="AA85" s="32">
        <f t="shared" si="8"/>
        <v>1.0455175261097533E-4</v>
      </c>
      <c r="AB85" s="32">
        <f t="shared" si="8"/>
        <v>2.9972554418021062E-5</v>
      </c>
      <c r="AC85" s="32">
        <f t="shared" si="8"/>
        <v>2.4603850633024486E-5</v>
      </c>
      <c r="AD85" s="32">
        <f t="shared" si="8"/>
        <v>2.8035147377685893E-5</v>
      </c>
      <c r="AE85" s="32">
        <f t="shared" si="8"/>
        <v>1.8758552168613996E-5</v>
      </c>
      <c r="AF85" s="32">
        <f t="shared" si="7"/>
        <v>3.2275551557660552E-5</v>
      </c>
      <c r="AG85" s="32">
        <f t="shared" si="7"/>
        <v>6.7946004526930903E-5</v>
      </c>
      <c r="AH85" s="32">
        <f t="shared" si="7"/>
        <v>1.8003124534115569E-4</v>
      </c>
      <c r="AI85" s="32">
        <f t="shared" si="7"/>
        <v>5.962679489696001E-4</v>
      </c>
      <c r="AJ85" s="32">
        <f t="shared" si="7"/>
        <v>2.332306089077577E-3</v>
      </c>
      <c r="AK85" s="33">
        <f t="shared" si="6"/>
        <v>1.3860392975656631E-4</v>
      </c>
    </row>
    <row r="86" spans="1:37" x14ac:dyDescent="0.3">
      <c r="A86" t="s">
        <v>48</v>
      </c>
      <c r="B86" s="1">
        <v>2011</v>
      </c>
      <c r="C86" s="1" t="str">
        <f t="shared" si="5"/>
        <v>Florida, 2011</v>
      </c>
      <c r="D86" s="27">
        <v>122</v>
      </c>
      <c r="E86" s="27">
        <v>59</v>
      </c>
      <c r="F86" s="27">
        <v>57</v>
      </c>
      <c r="G86" s="27">
        <v>64</v>
      </c>
      <c r="H86" s="27">
        <v>71</v>
      </c>
      <c r="I86" s="27">
        <v>111</v>
      </c>
      <c r="J86" s="27">
        <v>193</v>
      </c>
      <c r="K86" s="27">
        <v>327</v>
      </c>
      <c r="L86" s="27">
        <v>629</v>
      </c>
      <c r="M86" s="27">
        <v>1078</v>
      </c>
      <c r="N86" s="27">
        <v>51</v>
      </c>
      <c r="O86" s="28">
        <v>2762</v>
      </c>
      <c r="P86" s="29">
        <v>1073044.2240000002</v>
      </c>
      <c r="Q86" s="30">
        <v>2192153.2590000001</v>
      </c>
      <c r="R86" s="30">
        <v>2444946.7429999998</v>
      </c>
      <c r="S86" s="30">
        <v>2263708.9990000003</v>
      </c>
      <c r="T86" s="30">
        <v>2460151.6369999996</v>
      </c>
      <c r="U86" s="30">
        <v>2686349.4859999996</v>
      </c>
      <c r="V86" s="30">
        <v>2276677.6130000008</v>
      </c>
      <c r="W86" s="30">
        <v>1674031.7119999998</v>
      </c>
      <c r="X86" s="30">
        <v>1091346.8880000003</v>
      </c>
      <c r="Y86" s="30">
        <v>429594.01800000016</v>
      </c>
      <c r="Z86" s="31">
        <v>18587753</v>
      </c>
      <c r="AA86" s="32">
        <f t="shared" si="8"/>
        <v>1.1369522082251102E-4</v>
      </c>
      <c r="AB86" s="32">
        <f t="shared" si="8"/>
        <v>2.6914176624181E-5</v>
      </c>
      <c r="AC86" s="32">
        <f t="shared" si="8"/>
        <v>2.3313391247966339E-5</v>
      </c>
      <c r="AD86" s="32">
        <f t="shared" si="8"/>
        <v>2.8272185174097986E-5</v>
      </c>
      <c r="AE86" s="32">
        <f t="shared" si="8"/>
        <v>2.8860009656388514E-5</v>
      </c>
      <c r="AF86" s="32">
        <f t="shared" si="7"/>
        <v>4.1320014606617725E-5</v>
      </c>
      <c r="AG86" s="32">
        <f t="shared" si="7"/>
        <v>8.4772652437901374E-5</v>
      </c>
      <c r="AH86" s="32">
        <f t="shared" si="7"/>
        <v>1.9533680136162203E-4</v>
      </c>
      <c r="AI86" s="32">
        <f t="shared" si="7"/>
        <v>5.7635203519268191E-4</v>
      </c>
      <c r="AJ86" s="32">
        <f t="shared" si="7"/>
        <v>2.5093459285552705E-3</v>
      </c>
      <c r="AK86" s="33">
        <f t="shared" si="6"/>
        <v>1.4859246300507652E-4</v>
      </c>
    </row>
    <row r="87" spans="1:37" x14ac:dyDescent="0.3">
      <c r="A87" t="s">
        <v>48</v>
      </c>
      <c r="B87" s="1">
        <v>2012</v>
      </c>
      <c r="C87" s="1" t="str">
        <f t="shared" si="5"/>
        <v>Florida, 2012</v>
      </c>
      <c r="D87" s="27">
        <v>118</v>
      </c>
      <c r="E87" s="27">
        <v>59</v>
      </c>
      <c r="F87" s="27">
        <v>53</v>
      </c>
      <c r="G87" s="27">
        <v>51</v>
      </c>
      <c r="H87" s="27">
        <v>54</v>
      </c>
      <c r="I87" s="27">
        <v>75</v>
      </c>
      <c r="J87" s="27">
        <v>195</v>
      </c>
      <c r="K87" s="27">
        <v>324</v>
      </c>
      <c r="L87" s="27">
        <v>606</v>
      </c>
      <c r="M87" s="27">
        <v>1055</v>
      </c>
      <c r="N87" s="27">
        <v>59</v>
      </c>
      <c r="O87" s="28">
        <v>2649</v>
      </c>
      <c r="P87" s="29">
        <v>1058078.1790000002</v>
      </c>
      <c r="Q87" s="30">
        <v>2174965.2259999998</v>
      </c>
      <c r="R87" s="30">
        <v>2436663.0439999998</v>
      </c>
      <c r="S87" s="30">
        <v>2275129.949</v>
      </c>
      <c r="T87" s="30">
        <v>2403376.5809999993</v>
      </c>
      <c r="U87" s="30">
        <v>2687990.7239999995</v>
      </c>
      <c r="V87" s="30">
        <v>2317883.611</v>
      </c>
      <c r="W87" s="30">
        <v>1725455.5269999998</v>
      </c>
      <c r="X87" s="30">
        <v>1091356.1529999999</v>
      </c>
      <c r="Y87" s="30">
        <v>444073.83999999997</v>
      </c>
      <c r="Z87" s="31">
        <v>18612782</v>
      </c>
      <c r="AA87" s="32">
        <f t="shared" si="8"/>
        <v>1.1152295013920704E-4</v>
      </c>
      <c r="AB87" s="32">
        <f t="shared" si="8"/>
        <v>2.7126870487261762E-5</v>
      </c>
      <c r="AC87" s="32">
        <f t="shared" si="8"/>
        <v>2.1751058329754027E-5</v>
      </c>
      <c r="AD87" s="32">
        <f t="shared" si="8"/>
        <v>2.2416301988559512E-5</v>
      </c>
      <c r="AE87" s="32">
        <f t="shared" si="8"/>
        <v>2.2468389026879686E-5</v>
      </c>
      <c r="AF87" s="32">
        <f t="shared" si="7"/>
        <v>2.7901882000691018E-5</v>
      </c>
      <c r="AG87" s="32">
        <f t="shared" si="7"/>
        <v>8.4128469209837303E-5</v>
      </c>
      <c r="AH87" s="32">
        <f t="shared" si="7"/>
        <v>1.8777650013578127E-4</v>
      </c>
      <c r="AI87" s="32">
        <f t="shared" si="7"/>
        <v>5.5527244551119509E-4</v>
      </c>
      <c r="AJ87" s="32">
        <f t="shared" si="7"/>
        <v>2.3757310270742364E-3</v>
      </c>
      <c r="AK87" s="33">
        <f t="shared" si="6"/>
        <v>1.4232155085682516E-4</v>
      </c>
    </row>
    <row r="88" spans="1:37" x14ac:dyDescent="0.3">
      <c r="A88" t="s">
        <v>48</v>
      </c>
      <c r="B88" s="1">
        <v>2013</v>
      </c>
      <c r="C88" s="1" t="str">
        <f t="shared" si="5"/>
        <v>Florida, 2013</v>
      </c>
      <c r="D88" s="27">
        <v>95</v>
      </c>
      <c r="E88" s="27">
        <v>55</v>
      </c>
      <c r="F88" s="27">
        <v>57</v>
      </c>
      <c r="G88" s="27">
        <v>48</v>
      </c>
      <c r="H88" s="27">
        <v>56</v>
      </c>
      <c r="I88" s="27">
        <v>144</v>
      </c>
      <c r="J88" s="27">
        <v>278</v>
      </c>
      <c r="K88" s="27">
        <v>374</v>
      </c>
      <c r="L88" s="27">
        <v>609</v>
      </c>
      <c r="M88" s="27">
        <v>1153</v>
      </c>
      <c r="N88" s="27">
        <v>47</v>
      </c>
      <c r="O88" s="28">
        <v>2916</v>
      </c>
      <c r="P88" s="29">
        <v>1056987.2299999993</v>
      </c>
      <c r="Q88" s="30">
        <v>2178763.2120000003</v>
      </c>
      <c r="R88" s="30">
        <v>2436304.9550000001</v>
      </c>
      <c r="S88" s="30">
        <v>2308917.3940000003</v>
      </c>
      <c r="T88" s="30">
        <v>2376332.5579999993</v>
      </c>
      <c r="U88" s="30">
        <v>2686967.6520000002</v>
      </c>
      <c r="V88" s="30">
        <v>2356492.8129999996</v>
      </c>
      <c r="W88" s="30">
        <v>1770313.8829999997</v>
      </c>
      <c r="X88" s="30">
        <v>1088006.2429999998</v>
      </c>
      <c r="Y88" s="30">
        <v>456120.75899999985</v>
      </c>
      <c r="Z88" s="31">
        <v>18717019</v>
      </c>
      <c r="AA88" s="32">
        <f t="shared" si="8"/>
        <v>8.9878096256659662E-5</v>
      </c>
      <c r="AB88" s="32">
        <f t="shared" si="8"/>
        <v>2.5243679394381105E-5</v>
      </c>
      <c r="AC88" s="32">
        <f t="shared" si="8"/>
        <v>2.3396085897629346E-5</v>
      </c>
      <c r="AD88" s="32">
        <f t="shared" si="8"/>
        <v>2.0788963747570086E-5</v>
      </c>
      <c r="AE88" s="32">
        <f t="shared" si="8"/>
        <v>2.3565725180793496E-5</v>
      </c>
      <c r="AF88" s="32">
        <f t="shared" si="7"/>
        <v>5.3592011013908547E-5</v>
      </c>
      <c r="AG88" s="32">
        <f t="shared" si="7"/>
        <v>1.1797192780150442E-4</v>
      </c>
      <c r="AH88" s="32">
        <f t="shared" si="7"/>
        <v>2.1126197088067465E-4</v>
      </c>
      <c r="AI88" s="32">
        <f t="shared" si="7"/>
        <v>5.5973943524513406E-4</v>
      </c>
      <c r="AJ88" s="32">
        <f t="shared" si="7"/>
        <v>2.5278393435278846E-3</v>
      </c>
      <c r="AK88" s="33">
        <f t="shared" si="6"/>
        <v>1.5579403963847022E-4</v>
      </c>
    </row>
    <row r="89" spans="1:37" x14ac:dyDescent="0.3">
      <c r="A89" t="s">
        <v>48</v>
      </c>
      <c r="B89" s="1">
        <v>2014</v>
      </c>
      <c r="C89" s="1" t="str">
        <f t="shared" si="5"/>
        <v>Florida, 2014</v>
      </c>
      <c r="D89" s="27">
        <v>112</v>
      </c>
      <c r="E89" s="27">
        <v>48</v>
      </c>
      <c r="F89" s="27">
        <v>57</v>
      </c>
      <c r="G89" s="27">
        <v>80</v>
      </c>
      <c r="H89" s="27">
        <v>63</v>
      </c>
      <c r="I89" s="27">
        <v>159</v>
      </c>
      <c r="J89" s="27">
        <v>277</v>
      </c>
      <c r="K89" s="27">
        <v>388</v>
      </c>
      <c r="L89" s="27">
        <v>671</v>
      </c>
      <c r="M89" s="27">
        <v>1084</v>
      </c>
      <c r="N89" s="27">
        <v>53</v>
      </c>
      <c r="O89" s="28">
        <v>2992</v>
      </c>
      <c r="P89" s="29">
        <v>1066794.0320000001</v>
      </c>
      <c r="Q89" s="30">
        <v>2213232.746999999</v>
      </c>
      <c r="R89" s="30">
        <v>2466193.6540000015</v>
      </c>
      <c r="S89" s="30">
        <v>2384606.2820000001</v>
      </c>
      <c r="T89" s="30">
        <v>2392038.892</v>
      </c>
      <c r="U89" s="30">
        <v>2716716.2529999991</v>
      </c>
      <c r="V89" s="30">
        <v>2437294.4930000002</v>
      </c>
      <c r="W89" s="30">
        <v>1865363.5409999997</v>
      </c>
      <c r="X89" s="30">
        <v>1121108.5109999999</v>
      </c>
      <c r="Y89" s="30">
        <v>475869.55699999991</v>
      </c>
      <c r="Z89" s="31">
        <v>19138363</v>
      </c>
      <c r="AA89" s="32">
        <f t="shared" si="8"/>
        <v>1.0498746397186443E-4</v>
      </c>
      <c r="AB89" s="32">
        <f t="shared" si="8"/>
        <v>2.1687732600677999E-5</v>
      </c>
      <c r="AC89" s="32">
        <f t="shared" si="8"/>
        <v>2.3112540212545678E-5</v>
      </c>
      <c r="AD89" s="32">
        <f t="shared" si="8"/>
        <v>3.3548515159032028E-5</v>
      </c>
      <c r="AE89" s="32">
        <f t="shared" si="8"/>
        <v>2.6337364417735397E-5</v>
      </c>
      <c r="AF89" s="32">
        <f t="shared" si="7"/>
        <v>5.8526539098229506E-5</v>
      </c>
      <c r="AG89" s="32">
        <f t="shared" si="7"/>
        <v>1.1365060758786196E-4</v>
      </c>
      <c r="AH89" s="32">
        <f t="shared" si="7"/>
        <v>2.0800234992906407E-4</v>
      </c>
      <c r="AI89" s="32">
        <f t="shared" si="7"/>
        <v>5.9851476767532985E-4</v>
      </c>
      <c r="AJ89" s="32">
        <f t="shared" si="7"/>
        <v>2.2779351695321839E-3</v>
      </c>
      <c r="AK89" s="33">
        <f t="shared" si="6"/>
        <v>1.5633521006995217E-4</v>
      </c>
    </row>
    <row r="90" spans="1:37" x14ac:dyDescent="0.3">
      <c r="A90" t="s">
        <v>48</v>
      </c>
      <c r="B90" s="1">
        <v>2015</v>
      </c>
      <c r="C90" s="1" t="str">
        <f t="shared" si="5"/>
        <v>Florida, 2015</v>
      </c>
      <c r="D90" s="27">
        <v>103</v>
      </c>
      <c r="E90" s="27">
        <v>46</v>
      </c>
      <c r="F90" s="27">
        <v>52</v>
      </c>
      <c r="G90" s="27">
        <v>27</v>
      </c>
      <c r="H90" s="27">
        <v>48</v>
      </c>
      <c r="I90" s="27">
        <v>101</v>
      </c>
      <c r="J90" s="27">
        <v>224</v>
      </c>
      <c r="K90" s="27">
        <v>441</v>
      </c>
      <c r="L90" s="27">
        <v>733</v>
      </c>
      <c r="M90" s="27">
        <v>1097</v>
      </c>
      <c r="N90" s="27">
        <v>44</v>
      </c>
      <c r="O90" s="28">
        <v>2916</v>
      </c>
      <c r="P90" s="29">
        <v>1059544.6139999998</v>
      </c>
      <c r="Q90" s="30">
        <v>2198405.2159999995</v>
      </c>
      <c r="R90" s="30">
        <v>2436762.4439999997</v>
      </c>
      <c r="S90" s="30">
        <v>2415174.3790000007</v>
      </c>
      <c r="T90" s="30">
        <v>2377338.5209999997</v>
      </c>
      <c r="U90" s="30">
        <v>2696779.0820000004</v>
      </c>
      <c r="V90" s="30">
        <v>2485538.4109999989</v>
      </c>
      <c r="W90" s="30">
        <v>1953009.8110000005</v>
      </c>
      <c r="X90" s="30">
        <v>1152225.0989999997</v>
      </c>
      <c r="Y90" s="30">
        <v>492861.98800000001</v>
      </c>
      <c r="Z90" s="31">
        <v>19265023</v>
      </c>
      <c r="AA90" s="32">
        <f t="shared" si="8"/>
        <v>9.7211574330177304E-5</v>
      </c>
      <c r="AB90" s="32">
        <f t="shared" si="8"/>
        <v>2.0924258942442397E-5</v>
      </c>
      <c r="AC90" s="32">
        <f t="shared" si="8"/>
        <v>2.1339790478156273E-5</v>
      </c>
      <c r="AD90" s="32">
        <f t="shared" si="8"/>
        <v>1.1179317002849007E-5</v>
      </c>
      <c r="AE90" s="32">
        <f t="shared" si="8"/>
        <v>2.0190645789817667E-5</v>
      </c>
      <c r="AF90" s="32">
        <f t="shared" si="7"/>
        <v>3.7452085220527527E-5</v>
      </c>
      <c r="AG90" s="32">
        <f t="shared" si="7"/>
        <v>9.0121318990149413E-5</v>
      </c>
      <c r="AH90" s="32">
        <f t="shared" si="7"/>
        <v>2.2580531726780961E-4</v>
      </c>
      <c r="AI90" s="32">
        <f t="shared" si="7"/>
        <v>6.3616041747064928E-4</v>
      </c>
      <c r="AJ90" s="32">
        <f t="shared" si="7"/>
        <v>2.2257752204659777E-3</v>
      </c>
      <c r="AK90" s="33">
        <f t="shared" si="6"/>
        <v>1.5136239390941812E-4</v>
      </c>
    </row>
    <row r="91" spans="1:37" x14ac:dyDescent="0.3">
      <c r="A91" t="s">
        <v>48</v>
      </c>
      <c r="B91" s="1">
        <v>2016</v>
      </c>
      <c r="C91" s="1" t="str">
        <f t="shared" si="5"/>
        <v>Florida, 2016</v>
      </c>
      <c r="D91" s="27">
        <v>93</v>
      </c>
      <c r="E91" s="27">
        <v>40</v>
      </c>
      <c r="F91" s="27">
        <v>64</v>
      </c>
      <c r="G91" s="27">
        <v>53</v>
      </c>
      <c r="H91" s="27">
        <v>73</v>
      </c>
      <c r="I91" s="27">
        <v>133</v>
      </c>
      <c r="J91" s="27">
        <v>274</v>
      </c>
      <c r="K91" s="27">
        <v>471</v>
      </c>
      <c r="L91" s="27">
        <v>701</v>
      </c>
      <c r="M91" s="27">
        <v>1088</v>
      </c>
      <c r="N91" s="27">
        <v>73</v>
      </c>
      <c r="O91" s="28">
        <v>3063</v>
      </c>
      <c r="P91" s="29">
        <v>1089969.932</v>
      </c>
      <c r="Q91" s="30">
        <v>2255210.1290000002</v>
      </c>
      <c r="R91" s="30">
        <v>2476282.3029999994</v>
      </c>
      <c r="S91" s="30">
        <v>2520674.7689999999</v>
      </c>
      <c r="T91" s="30">
        <v>2424255.0259999996</v>
      </c>
      <c r="U91" s="30">
        <v>2736780.4959999998</v>
      </c>
      <c r="V91" s="30">
        <v>2572146.8059999999</v>
      </c>
      <c r="W91" s="30">
        <v>2075671.2340000002</v>
      </c>
      <c r="X91" s="30">
        <v>1193809.6489999997</v>
      </c>
      <c r="Y91" s="30">
        <v>514118.81100000005</v>
      </c>
      <c r="Z91" s="31">
        <v>19860389</v>
      </c>
      <c r="AA91" s="32">
        <f t="shared" si="8"/>
        <v>8.5323454592323565E-5</v>
      </c>
      <c r="AB91" s="32">
        <f t="shared" si="8"/>
        <v>1.7736706431757961E-5</v>
      </c>
      <c r="AC91" s="32">
        <f t="shared" si="8"/>
        <v>2.5845195405412555E-5</v>
      </c>
      <c r="AD91" s="32">
        <f t="shared" si="8"/>
        <v>2.1026115963792552E-5</v>
      </c>
      <c r="AE91" s="32">
        <f t="shared" si="8"/>
        <v>3.0112343469263375E-5</v>
      </c>
      <c r="AF91" s="32">
        <f t="shared" si="7"/>
        <v>4.859724782253783E-5</v>
      </c>
      <c r="AG91" s="32">
        <f t="shared" si="7"/>
        <v>1.065258014670256E-4</v>
      </c>
      <c r="AH91" s="32">
        <f t="shared" si="7"/>
        <v>2.2691454806758669E-4</v>
      </c>
      <c r="AI91" s="32">
        <f t="shared" si="7"/>
        <v>5.8719579003838334E-4</v>
      </c>
      <c r="AJ91" s="32">
        <f t="shared" si="7"/>
        <v>2.1162423485025913E-3</v>
      </c>
      <c r="AK91" s="33">
        <f t="shared" si="6"/>
        <v>1.5422658639767831E-4</v>
      </c>
    </row>
    <row r="92" spans="1:37" x14ac:dyDescent="0.3">
      <c r="A92" t="s">
        <v>48</v>
      </c>
      <c r="B92" s="1">
        <v>2017</v>
      </c>
      <c r="C92" s="1" t="str">
        <f t="shared" si="5"/>
        <v>Florida, 2017</v>
      </c>
      <c r="D92" s="27">
        <v>111</v>
      </c>
      <c r="E92" s="27">
        <v>51</v>
      </c>
      <c r="F92" s="27">
        <v>43</v>
      </c>
      <c r="G92" s="27">
        <v>48</v>
      </c>
      <c r="H92" s="27">
        <v>60</v>
      </c>
      <c r="I92" s="27">
        <v>68</v>
      </c>
      <c r="J92" s="27">
        <v>300</v>
      </c>
      <c r="K92" s="27">
        <v>516</v>
      </c>
      <c r="L92" s="27">
        <v>744</v>
      </c>
      <c r="M92" s="27">
        <v>1294</v>
      </c>
      <c r="N92" s="27">
        <v>54</v>
      </c>
      <c r="O92" s="28">
        <v>3289</v>
      </c>
      <c r="P92" s="29">
        <v>1101064</v>
      </c>
      <c r="Q92" s="30">
        <v>2277164</v>
      </c>
      <c r="R92" s="30">
        <v>2484053</v>
      </c>
      <c r="S92" s="30">
        <v>2588716</v>
      </c>
      <c r="T92" s="30">
        <v>2452250</v>
      </c>
      <c r="U92" s="30">
        <v>2740928</v>
      </c>
      <c r="V92" s="30">
        <v>2634412</v>
      </c>
      <c r="W92" s="30">
        <v>2150754</v>
      </c>
      <c r="X92" s="30">
        <v>1224236</v>
      </c>
      <c r="Y92" s="30">
        <v>520483</v>
      </c>
      <c r="Z92" s="31">
        <v>20174060</v>
      </c>
      <c r="AA92" s="32">
        <f t="shared" si="8"/>
        <v>1.0081157861849992E-4</v>
      </c>
      <c r="AB92" s="32">
        <f t="shared" si="8"/>
        <v>2.2396278880221186E-5</v>
      </c>
      <c r="AC92" s="32">
        <f t="shared" si="8"/>
        <v>1.7310419705215628E-5</v>
      </c>
      <c r="AD92" s="32">
        <f t="shared" si="8"/>
        <v>1.8542010788359944E-5</v>
      </c>
      <c r="AE92" s="32">
        <f t="shared" si="8"/>
        <v>2.4467325925170761E-5</v>
      </c>
      <c r="AF92" s="32">
        <f t="shared" si="7"/>
        <v>2.4809115744740468E-5</v>
      </c>
      <c r="AG92" s="32">
        <f t="shared" si="7"/>
        <v>1.138774041417971E-4</v>
      </c>
      <c r="AH92" s="32">
        <f t="shared" si="7"/>
        <v>2.3991586206511764E-4</v>
      </c>
      <c r="AI92" s="32">
        <f t="shared" si="7"/>
        <v>6.0772596133425259E-4</v>
      </c>
      <c r="AJ92" s="32">
        <f t="shared" si="7"/>
        <v>2.486152285473301E-3</v>
      </c>
      <c r="AK92" s="33">
        <f t="shared" si="6"/>
        <v>1.6303113998867853E-4</v>
      </c>
    </row>
    <row r="93" spans="1:37" x14ac:dyDescent="0.3">
      <c r="A93" t="s">
        <v>49</v>
      </c>
      <c r="B93" s="1">
        <v>2009</v>
      </c>
      <c r="C93" s="1" t="str">
        <f t="shared" si="5"/>
        <v>Georgia, 2009</v>
      </c>
      <c r="D93" s="27">
        <v>120</v>
      </c>
      <c r="E93" s="27">
        <v>48</v>
      </c>
      <c r="F93" s="27">
        <v>59</v>
      </c>
      <c r="G93" s="27">
        <v>56</v>
      </c>
      <c r="H93" s="27">
        <v>53</v>
      </c>
      <c r="I93" s="27">
        <v>76</v>
      </c>
      <c r="J93" s="27">
        <v>127</v>
      </c>
      <c r="K93" s="27">
        <v>197</v>
      </c>
      <c r="L93" s="27">
        <v>410</v>
      </c>
      <c r="M93" s="27">
        <v>562</v>
      </c>
      <c r="N93" s="27">
        <v>57</v>
      </c>
      <c r="O93" s="28">
        <v>1765</v>
      </c>
      <c r="P93" s="29">
        <v>727810.33900000027</v>
      </c>
      <c r="Q93" s="30">
        <v>1367918.9609999997</v>
      </c>
      <c r="R93" s="30">
        <v>1369727.9640000002</v>
      </c>
      <c r="S93" s="30">
        <v>1356453.6110000007</v>
      </c>
      <c r="T93" s="30">
        <v>1442441.1719999993</v>
      </c>
      <c r="U93" s="30">
        <v>1326348.2989999994</v>
      </c>
      <c r="V93" s="30">
        <v>958662.86200000008</v>
      </c>
      <c r="W93" s="30">
        <v>529997.60300000012</v>
      </c>
      <c r="X93" s="30">
        <v>304765.27399999998</v>
      </c>
      <c r="Y93" s="30">
        <v>111636.011</v>
      </c>
      <c r="Z93" s="31">
        <v>9497667</v>
      </c>
      <c r="AA93" s="32">
        <f t="shared" si="8"/>
        <v>1.6487811943545358E-4</v>
      </c>
      <c r="AB93" s="32">
        <f t="shared" si="8"/>
        <v>3.5089797984019617E-5</v>
      </c>
      <c r="AC93" s="32">
        <f t="shared" si="8"/>
        <v>4.3074246529729161E-5</v>
      </c>
      <c r="AD93" s="32">
        <f t="shared" si="8"/>
        <v>4.128412468061908E-5</v>
      </c>
      <c r="AE93" s="32">
        <f t="shared" si="8"/>
        <v>3.6743266227289871E-5</v>
      </c>
      <c r="AF93" s="32">
        <f t="shared" si="7"/>
        <v>5.7300182808166015E-5</v>
      </c>
      <c r="AG93" s="32">
        <f t="shared" si="7"/>
        <v>1.3247618639888439E-4</v>
      </c>
      <c r="AH93" s="32">
        <f t="shared" si="7"/>
        <v>3.7169979427246569E-4</v>
      </c>
      <c r="AI93" s="32">
        <f t="shared" si="7"/>
        <v>1.3452976273143247E-3</v>
      </c>
      <c r="AJ93" s="32">
        <f t="shared" si="7"/>
        <v>5.0342178564585218E-3</v>
      </c>
      <c r="AK93" s="33">
        <f t="shared" si="6"/>
        <v>1.8583511087512334E-4</v>
      </c>
    </row>
    <row r="94" spans="1:37" x14ac:dyDescent="0.3">
      <c r="A94" t="s">
        <v>49</v>
      </c>
      <c r="B94" s="1">
        <v>2010</v>
      </c>
      <c r="C94" s="1" t="str">
        <f t="shared" si="5"/>
        <v>Georgia, 2010</v>
      </c>
      <c r="D94" s="27">
        <v>96</v>
      </c>
      <c r="E94" s="27">
        <v>54</v>
      </c>
      <c r="F94" s="27">
        <v>51</v>
      </c>
      <c r="G94" s="27">
        <v>46</v>
      </c>
      <c r="H94" s="27">
        <v>56</v>
      </c>
      <c r="I94" s="27">
        <v>64</v>
      </c>
      <c r="J94" s="27">
        <v>110</v>
      </c>
      <c r="K94" s="27">
        <v>223</v>
      </c>
      <c r="L94" s="27">
        <v>392</v>
      </c>
      <c r="M94" s="27">
        <v>557</v>
      </c>
      <c r="N94" s="27">
        <v>81</v>
      </c>
      <c r="O94" s="28">
        <v>1730</v>
      </c>
      <c r="P94" s="29">
        <v>684206.9490000006</v>
      </c>
      <c r="Q94" s="30">
        <v>1345131.5199999998</v>
      </c>
      <c r="R94" s="30">
        <v>1364253.3679999998</v>
      </c>
      <c r="S94" s="30">
        <v>1312136.9540000006</v>
      </c>
      <c r="T94" s="30">
        <v>1412133.7850000001</v>
      </c>
      <c r="U94" s="30">
        <v>1334958.6880000003</v>
      </c>
      <c r="V94" s="30">
        <v>992939.51600000029</v>
      </c>
      <c r="W94" s="30">
        <v>556625.67400000012</v>
      </c>
      <c r="X94" s="30">
        <v>298852.19400000008</v>
      </c>
      <c r="Y94" s="30">
        <v>108648.15400000001</v>
      </c>
      <c r="Z94" s="31">
        <v>9410315</v>
      </c>
      <c r="AA94" s="32">
        <f t="shared" si="8"/>
        <v>1.4030842589410754E-4</v>
      </c>
      <c r="AB94" s="32">
        <f t="shared" si="8"/>
        <v>4.0144773352720194E-5</v>
      </c>
      <c r="AC94" s="32">
        <f t="shared" si="8"/>
        <v>3.7383085280387601E-5</v>
      </c>
      <c r="AD94" s="32">
        <f t="shared" si="8"/>
        <v>3.5057316128297978E-5</v>
      </c>
      <c r="AE94" s="32">
        <f t="shared" si="8"/>
        <v>3.96562992790375E-5</v>
      </c>
      <c r="AF94" s="32">
        <f t="shared" si="7"/>
        <v>4.7941558473156277E-5</v>
      </c>
      <c r="AG94" s="32">
        <f t="shared" si="7"/>
        <v>1.1078217577957686E-4</v>
      </c>
      <c r="AH94" s="32">
        <f t="shared" si="7"/>
        <v>4.0062830447163306E-4</v>
      </c>
      <c r="AI94" s="32">
        <f t="shared" si="7"/>
        <v>1.3116852004773968E-3</v>
      </c>
      <c r="AJ94" s="32">
        <f t="shared" si="7"/>
        <v>5.1266402556641687E-3</v>
      </c>
      <c r="AK94" s="33">
        <f t="shared" si="6"/>
        <v>1.8384081723087908E-4</v>
      </c>
    </row>
    <row r="95" spans="1:37" x14ac:dyDescent="0.3">
      <c r="A95" t="s">
        <v>49</v>
      </c>
      <c r="B95" s="1">
        <v>2011</v>
      </c>
      <c r="C95" s="1" t="str">
        <f t="shared" si="5"/>
        <v>Georgia, 2011</v>
      </c>
      <c r="D95" s="27">
        <v>109</v>
      </c>
      <c r="E95" s="27">
        <v>45</v>
      </c>
      <c r="F95" s="27">
        <v>70</v>
      </c>
      <c r="G95" s="27">
        <v>57</v>
      </c>
      <c r="H95" s="27">
        <v>45</v>
      </c>
      <c r="I95" s="27">
        <v>57</v>
      </c>
      <c r="J95" s="27">
        <v>141</v>
      </c>
      <c r="K95" s="27">
        <v>253</v>
      </c>
      <c r="L95" s="27">
        <v>376</v>
      </c>
      <c r="M95" s="27">
        <v>544</v>
      </c>
      <c r="N95" s="27">
        <v>60</v>
      </c>
      <c r="O95" s="28">
        <v>1757</v>
      </c>
      <c r="P95" s="29">
        <v>679337.80599999987</v>
      </c>
      <c r="Q95" s="30">
        <v>1350674.6939999992</v>
      </c>
      <c r="R95" s="30">
        <v>1367666.2419999999</v>
      </c>
      <c r="S95" s="30">
        <v>1310024.3919999998</v>
      </c>
      <c r="T95" s="30">
        <v>1392905.1349999991</v>
      </c>
      <c r="U95" s="30">
        <v>1346347.192999999</v>
      </c>
      <c r="V95" s="30">
        <v>1018023.6990000001</v>
      </c>
      <c r="W95" s="30">
        <v>573096.02500000014</v>
      </c>
      <c r="X95" s="30">
        <v>302543.91400000011</v>
      </c>
      <c r="Y95" s="30">
        <v>110262.25099999999</v>
      </c>
      <c r="Z95" s="31">
        <v>9449770</v>
      </c>
      <c r="AA95" s="32">
        <f t="shared" si="8"/>
        <v>1.6045036657359244E-4</v>
      </c>
      <c r="AB95" s="32">
        <f t="shared" si="8"/>
        <v>3.3316682543842806E-5</v>
      </c>
      <c r="AC95" s="32">
        <f t="shared" si="8"/>
        <v>5.1182077798188429E-5</v>
      </c>
      <c r="AD95" s="32">
        <f t="shared" si="8"/>
        <v>4.3510640220201345E-5</v>
      </c>
      <c r="AE95" s="32">
        <f t="shared" si="8"/>
        <v>3.2306579155514445E-5</v>
      </c>
      <c r="AF95" s="32">
        <f t="shared" si="7"/>
        <v>4.2336776350377881E-5</v>
      </c>
      <c r="AG95" s="32">
        <f t="shared" si="7"/>
        <v>1.3850365186832451E-4</v>
      </c>
      <c r="AH95" s="32">
        <f t="shared" si="7"/>
        <v>4.4146179516774689E-4</v>
      </c>
      <c r="AI95" s="32">
        <f t="shared" si="7"/>
        <v>1.242794789783806E-3</v>
      </c>
      <c r="AJ95" s="32">
        <f t="shared" si="7"/>
        <v>4.9336921300473001E-3</v>
      </c>
      <c r="AK95" s="33">
        <f t="shared" si="6"/>
        <v>1.8593045121733122E-4</v>
      </c>
    </row>
    <row r="96" spans="1:37" x14ac:dyDescent="0.3">
      <c r="A96" t="s">
        <v>49</v>
      </c>
      <c r="B96" s="1">
        <v>2012</v>
      </c>
      <c r="C96" s="1" t="str">
        <f t="shared" si="5"/>
        <v>Georgia, 2012</v>
      </c>
      <c r="D96" s="27">
        <v>111</v>
      </c>
      <c r="E96" s="27">
        <v>55</v>
      </c>
      <c r="F96" s="27">
        <v>48</v>
      </c>
      <c r="G96" s="27">
        <v>64</v>
      </c>
      <c r="H96" s="27">
        <v>55</v>
      </c>
      <c r="I96" s="27">
        <v>67</v>
      </c>
      <c r="J96" s="27">
        <v>130</v>
      </c>
      <c r="K96" s="27">
        <v>162</v>
      </c>
      <c r="L96" s="27">
        <v>419</v>
      </c>
      <c r="M96" s="27">
        <v>533</v>
      </c>
      <c r="N96" s="27">
        <v>55</v>
      </c>
      <c r="O96" s="28">
        <v>1699</v>
      </c>
      <c r="P96" s="29">
        <v>669034.59900000016</v>
      </c>
      <c r="Q96" s="30">
        <v>1349717.9159999997</v>
      </c>
      <c r="R96" s="30">
        <v>1363521.4430000009</v>
      </c>
      <c r="S96" s="30">
        <v>1305258.3159999994</v>
      </c>
      <c r="T96" s="30">
        <v>1371346.9539999992</v>
      </c>
      <c r="U96" s="30">
        <v>1344696.577</v>
      </c>
      <c r="V96" s="30">
        <v>1038375.6400000002</v>
      </c>
      <c r="W96" s="30">
        <v>592505.03100000042</v>
      </c>
      <c r="X96" s="30">
        <v>303413.15799999982</v>
      </c>
      <c r="Y96" s="30">
        <v>112644.61</v>
      </c>
      <c r="Z96" s="31">
        <v>9445622</v>
      </c>
      <c r="AA96" s="32">
        <f t="shared" si="8"/>
        <v>1.6591070202633866E-4</v>
      </c>
      <c r="AB96" s="32">
        <f t="shared" si="8"/>
        <v>4.0749255342921604E-5</v>
      </c>
      <c r="AC96" s="32">
        <f t="shared" si="8"/>
        <v>3.5202966734715276E-5</v>
      </c>
      <c r="AD96" s="32">
        <f t="shared" si="8"/>
        <v>4.9032439951142995E-5</v>
      </c>
      <c r="AE96" s="32">
        <f t="shared" si="8"/>
        <v>4.0106553516288358E-5</v>
      </c>
      <c r="AF96" s="32">
        <f t="shared" si="7"/>
        <v>4.9825366663367357E-5</v>
      </c>
      <c r="AG96" s="32">
        <f t="shared" si="7"/>
        <v>1.2519554098938606E-4</v>
      </c>
      <c r="AH96" s="32">
        <f t="shared" si="7"/>
        <v>2.7341539991075598E-4</v>
      </c>
      <c r="AI96" s="32">
        <f t="shared" si="7"/>
        <v>1.3809552715574724E-3</v>
      </c>
      <c r="AJ96" s="32">
        <f t="shared" si="7"/>
        <v>4.7316955511675172E-3</v>
      </c>
      <c r="AK96" s="33">
        <f t="shared" si="6"/>
        <v>1.7987169082141969E-4</v>
      </c>
    </row>
    <row r="97" spans="1:37" x14ac:dyDescent="0.3">
      <c r="A97" t="s">
        <v>49</v>
      </c>
      <c r="B97" s="1">
        <v>2013</v>
      </c>
      <c r="C97" s="1" t="str">
        <f t="shared" si="5"/>
        <v>Georgia, 2013</v>
      </c>
      <c r="D97" s="27">
        <v>110</v>
      </c>
      <c r="E97" s="27">
        <v>57</v>
      </c>
      <c r="F97" s="27">
        <v>60</v>
      </c>
      <c r="G97" s="27">
        <v>58</v>
      </c>
      <c r="H97" s="27">
        <v>67</v>
      </c>
      <c r="I97" s="27">
        <v>88</v>
      </c>
      <c r="J97" s="27">
        <v>152</v>
      </c>
      <c r="K97" s="27">
        <v>223</v>
      </c>
      <c r="L97" s="27">
        <v>398</v>
      </c>
      <c r="M97" s="27">
        <v>531</v>
      </c>
      <c r="N97" s="27">
        <v>48</v>
      </c>
      <c r="O97" s="28">
        <v>1792</v>
      </c>
      <c r="P97" s="29">
        <v>665047.90800000029</v>
      </c>
      <c r="Q97" s="30">
        <v>1366964.4339999997</v>
      </c>
      <c r="R97" s="30">
        <v>1391042.811</v>
      </c>
      <c r="S97" s="30">
        <v>1316850.2250000001</v>
      </c>
      <c r="T97" s="30">
        <v>1359434.7089999998</v>
      </c>
      <c r="U97" s="30">
        <v>1358227.3359999999</v>
      </c>
      <c r="V97" s="30">
        <v>1071912.8049999995</v>
      </c>
      <c r="W97" s="30">
        <v>627094.94600000035</v>
      </c>
      <c r="X97" s="30">
        <v>312430.11300000007</v>
      </c>
      <c r="Y97" s="30">
        <v>116726.70400000006</v>
      </c>
      <c r="Z97" s="31">
        <v>9585551</v>
      </c>
      <c r="AA97" s="32">
        <f t="shared" si="8"/>
        <v>1.6540161795381507E-4</v>
      </c>
      <c r="AB97" s="32">
        <f t="shared" si="8"/>
        <v>4.1698231923421067E-5</v>
      </c>
      <c r="AC97" s="32">
        <f t="shared" si="8"/>
        <v>4.3133108144146113E-5</v>
      </c>
      <c r="AD97" s="32">
        <f t="shared" si="8"/>
        <v>4.4044492607350236E-5</v>
      </c>
      <c r="AE97" s="32">
        <f t="shared" si="8"/>
        <v>4.928519152588446E-5</v>
      </c>
      <c r="AF97" s="32">
        <f t="shared" si="7"/>
        <v>6.479033197723831E-5</v>
      </c>
      <c r="AG97" s="32">
        <f t="shared" si="7"/>
        <v>1.4180257880210703E-4</v>
      </c>
      <c r="AH97" s="32">
        <f t="shared" si="7"/>
        <v>3.5560803259926111E-4</v>
      </c>
      <c r="AI97" s="32">
        <f t="shared" si="7"/>
        <v>1.2738848895784893E-3</v>
      </c>
      <c r="AJ97" s="32">
        <f t="shared" si="7"/>
        <v>4.5490875849625613E-3</v>
      </c>
      <c r="AK97" s="33">
        <f t="shared" si="6"/>
        <v>1.8694804294505345E-4</v>
      </c>
    </row>
    <row r="98" spans="1:37" x14ac:dyDescent="0.3">
      <c r="A98" t="s">
        <v>49</v>
      </c>
      <c r="B98" s="1">
        <v>2014</v>
      </c>
      <c r="C98" s="1" t="str">
        <f t="shared" si="5"/>
        <v>Georgia, 2014</v>
      </c>
      <c r="D98" s="27">
        <v>109</v>
      </c>
      <c r="E98" s="27">
        <v>37</v>
      </c>
      <c r="F98" s="27">
        <v>45</v>
      </c>
      <c r="G98" s="27">
        <v>52</v>
      </c>
      <c r="H98" s="27">
        <v>55</v>
      </c>
      <c r="I98" s="27">
        <v>89</v>
      </c>
      <c r="J98" s="27">
        <v>200</v>
      </c>
      <c r="K98" s="27">
        <v>257</v>
      </c>
      <c r="L98" s="27">
        <v>348</v>
      </c>
      <c r="M98" s="27">
        <v>528</v>
      </c>
      <c r="N98" s="27">
        <v>31</v>
      </c>
      <c r="O98" s="28">
        <v>1751</v>
      </c>
      <c r="P98" s="29">
        <v>645267.01000000013</v>
      </c>
      <c r="Q98" s="30">
        <v>1345684.986</v>
      </c>
      <c r="R98" s="30">
        <v>1362556.6929999995</v>
      </c>
      <c r="S98" s="30">
        <v>1304053.1229999999</v>
      </c>
      <c r="T98" s="30">
        <v>1332065.129</v>
      </c>
      <c r="U98" s="30">
        <v>1336864.0359999998</v>
      </c>
      <c r="V98" s="30">
        <v>1076560.513</v>
      </c>
      <c r="W98" s="30">
        <v>640707.57199999993</v>
      </c>
      <c r="X98" s="30">
        <v>312762.52999999985</v>
      </c>
      <c r="Y98" s="30">
        <v>115200.82699999993</v>
      </c>
      <c r="Z98" s="31">
        <v>9474797</v>
      </c>
      <c r="AA98" s="32">
        <f t="shared" si="8"/>
        <v>1.6892231945966055E-4</v>
      </c>
      <c r="AB98" s="32">
        <f t="shared" si="8"/>
        <v>2.7495290788657131E-5</v>
      </c>
      <c r="AC98" s="32">
        <f t="shared" si="8"/>
        <v>3.3026148732880665E-5</v>
      </c>
      <c r="AD98" s="32">
        <f t="shared" si="8"/>
        <v>3.987567613838689E-5</v>
      </c>
      <c r="AE98" s="32">
        <f t="shared" si="8"/>
        <v>4.1289272425657801E-5</v>
      </c>
      <c r="AF98" s="32">
        <f t="shared" si="7"/>
        <v>6.6573711015740128E-5</v>
      </c>
      <c r="AG98" s="32">
        <f t="shared" si="7"/>
        <v>1.8577683054960795E-4</v>
      </c>
      <c r="AH98" s="32">
        <f t="shared" si="7"/>
        <v>4.0111903032105889E-4</v>
      </c>
      <c r="AI98" s="32">
        <f t="shared" si="7"/>
        <v>1.1126652543704649E-3</v>
      </c>
      <c r="AJ98" s="32">
        <f t="shared" si="7"/>
        <v>4.5833004306470851E-3</v>
      </c>
      <c r="AK98" s="33">
        <f t="shared" si="6"/>
        <v>1.8480607025142597E-4</v>
      </c>
    </row>
    <row r="99" spans="1:37" x14ac:dyDescent="0.3">
      <c r="A99" t="s">
        <v>49</v>
      </c>
      <c r="B99" s="1">
        <v>2015</v>
      </c>
      <c r="C99" s="1" t="str">
        <f t="shared" si="5"/>
        <v>Georgia, 2015</v>
      </c>
      <c r="D99" s="27">
        <v>89</v>
      </c>
      <c r="E99" s="27">
        <v>51</v>
      </c>
      <c r="F99" s="27">
        <v>60</v>
      </c>
      <c r="G99" s="27">
        <v>64</v>
      </c>
      <c r="H99" s="27">
        <v>49</v>
      </c>
      <c r="I99" s="27">
        <v>62</v>
      </c>
      <c r="J99" s="27">
        <v>170</v>
      </c>
      <c r="K99" s="27">
        <v>241</v>
      </c>
      <c r="L99" s="27">
        <v>419</v>
      </c>
      <c r="M99" s="27">
        <v>499</v>
      </c>
      <c r="N99" s="27">
        <v>51</v>
      </c>
      <c r="O99" s="28">
        <v>1755</v>
      </c>
      <c r="P99" s="29">
        <v>641893.74700000009</v>
      </c>
      <c r="Q99" s="30">
        <v>1358094.8409999995</v>
      </c>
      <c r="R99" s="30">
        <v>1375547.9519999996</v>
      </c>
      <c r="S99" s="30">
        <v>1319661.2340000002</v>
      </c>
      <c r="T99" s="30">
        <v>1331548.2030000002</v>
      </c>
      <c r="U99" s="30">
        <v>1347224.5840000007</v>
      </c>
      <c r="V99" s="30">
        <v>1114069.6899999997</v>
      </c>
      <c r="W99" s="30">
        <v>688432.353</v>
      </c>
      <c r="X99" s="30">
        <v>328810.03300000005</v>
      </c>
      <c r="Y99" s="30">
        <v>119480.50200000002</v>
      </c>
      <c r="Z99" s="31">
        <v>9623756</v>
      </c>
      <c r="AA99" s="32">
        <f t="shared" si="8"/>
        <v>1.3865223086524317E-4</v>
      </c>
      <c r="AB99" s="32">
        <f t="shared" si="8"/>
        <v>3.755260565046209E-5</v>
      </c>
      <c r="AC99" s="32">
        <f t="shared" si="8"/>
        <v>4.3618981012448205E-5</v>
      </c>
      <c r="AD99" s="32">
        <f t="shared" si="8"/>
        <v>4.8497294874693571E-5</v>
      </c>
      <c r="AE99" s="32">
        <f t="shared" si="8"/>
        <v>3.6799268617990838E-5</v>
      </c>
      <c r="AF99" s="32">
        <f t="shared" si="7"/>
        <v>4.6020537879377035E-5</v>
      </c>
      <c r="AG99" s="32">
        <f t="shared" si="7"/>
        <v>1.5259368558891503E-4</v>
      </c>
      <c r="AH99" s="32">
        <f t="shared" si="7"/>
        <v>3.5007070622086235E-4</v>
      </c>
      <c r="AI99" s="32">
        <f t="shared" si="7"/>
        <v>1.2742920165091189E-3</v>
      </c>
      <c r="AJ99" s="32">
        <f t="shared" si="7"/>
        <v>4.1764136545057364E-3</v>
      </c>
      <c r="AK99" s="33">
        <f t="shared" si="6"/>
        <v>1.82361231934808E-4</v>
      </c>
    </row>
    <row r="100" spans="1:37" x14ac:dyDescent="0.3">
      <c r="A100" t="s">
        <v>49</v>
      </c>
      <c r="B100" s="1">
        <v>2016</v>
      </c>
      <c r="C100" s="1" t="str">
        <f t="shared" si="5"/>
        <v>Georgia, 2016</v>
      </c>
      <c r="D100" s="27">
        <v>103</v>
      </c>
      <c r="E100" s="27">
        <v>56</v>
      </c>
      <c r="F100" s="27">
        <v>64</v>
      </c>
      <c r="G100" s="27">
        <v>39</v>
      </c>
      <c r="H100" s="27">
        <v>68</v>
      </c>
      <c r="I100" s="27">
        <v>54</v>
      </c>
      <c r="J100" s="27">
        <v>204</v>
      </c>
      <c r="K100" s="27">
        <v>266</v>
      </c>
      <c r="L100" s="27">
        <v>351</v>
      </c>
      <c r="M100" s="27">
        <v>451</v>
      </c>
      <c r="N100" s="27">
        <v>59</v>
      </c>
      <c r="O100" s="28">
        <v>1715</v>
      </c>
      <c r="P100" s="29">
        <v>632607.33299999975</v>
      </c>
      <c r="Q100" s="30">
        <v>1346394.9870000004</v>
      </c>
      <c r="R100" s="30">
        <v>1362909.9120000007</v>
      </c>
      <c r="S100" s="30">
        <v>1316627.7560000003</v>
      </c>
      <c r="T100" s="30">
        <v>1310524.1120000007</v>
      </c>
      <c r="U100" s="30">
        <v>1329930.1619999995</v>
      </c>
      <c r="V100" s="30">
        <v>1114617.037</v>
      </c>
      <c r="W100" s="30">
        <v>708753.20199999993</v>
      </c>
      <c r="X100" s="30">
        <v>329850.44499999977</v>
      </c>
      <c r="Y100" s="30">
        <v>119253.98500000007</v>
      </c>
      <c r="Z100" s="31">
        <v>9573475</v>
      </c>
      <c r="AA100" s="32">
        <f t="shared" si="8"/>
        <v>1.6281822012961087E-4</v>
      </c>
      <c r="AB100" s="32">
        <f t="shared" si="8"/>
        <v>4.1592549393530965E-5</v>
      </c>
      <c r="AC100" s="32">
        <f t="shared" si="8"/>
        <v>4.6958349511218443E-5</v>
      </c>
      <c r="AD100" s="32">
        <f t="shared" si="8"/>
        <v>2.9621128540146005E-5</v>
      </c>
      <c r="AE100" s="32">
        <f t="shared" si="8"/>
        <v>5.1887637455387744E-5</v>
      </c>
      <c r="AF100" s="32">
        <f t="shared" si="7"/>
        <v>4.0603635847158126E-5</v>
      </c>
      <c r="AG100" s="32">
        <f t="shared" si="7"/>
        <v>1.830225030016296E-4</v>
      </c>
      <c r="AH100" s="32">
        <f t="shared" si="7"/>
        <v>3.7530694640868802E-4</v>
      </c>
      <c r="AI100" s="32">
        <f t="shared" si="7"/>
        <v>1.0641186189698797E-3</v>
      </c>
      <c r="AJ100" s="32">
        <f t="shared" si="7"/>
        <v>3.7818442712836786E-3</v>
      </c>
      <c r="AK100" s="33">
        <f t="shared" si="6"/>
        <v>1.7914080310441088E-4</v>
      </c>
    </row>
    <row r="101" spans="1:37" x14ac:dyDescent="0.3">
      <c r="A101" t="s">
        <v>49</v>
      </c>
      <c r="B101" s="1">
        <v>2017</v>
      </c>
      <c r="C101" s="1" t="str">
        <f t="shared" si="5"/>
        <v>Georgia, 2017</v>
      </c>
      <c r="D101" s="27">
        <v>100</v>
      </c>
      <c r="E101" s="27">
        <v>72</v>
      </c>
      <c r="F101" s="27">
        <v>59</v>
      </c>
      <c r="G101" s="27">
        <v>69</v>
      </c>
      <c r="H101" s="27">
        <v>46</v>
      </c>
      <c r="I101" s="27">
        <v>90</v>
      </c>
      <c r="J101" s="27">
        <v>163</v>
      </c>
      <c r="K101" s="27">
        <v>274</v>
      </c>
      <c r="L101" s="27">
        <v>391</v>
      </c>
      <c r="M101" s="27">
        <v>452</v>
      </c>
      <c r="N101" s="27">
        <v>58</v>
      </c>
      <c r="O101" s="28">
        <v>1774</v>
      </c>
      <c r="P101" s="29">
        <v>617664</v>
      </c>
      <c r="Q101" s="30">
        <v>1325874</v>
      </c>
      <c r="R101" s="30">
        <v>1347925</v>
      </c>
      <c r="S101" s="30">
        <v>1321481</v>
      </c>
      <c r="T101" s="30">
        <v>1297645</v>
      </c>
      <c r="U101" s="30">
        <v>1325380</v>
      </c>
      <c r="V101" s="30">
        <v>1138440</v>
      </c>
      <c r="W101" s="30">
        <v>744779</v>
      </c>
      <c r="X101" s="30">
        <v>340395</v>
      </c>
      <c r="Y101" s="30">
        <v>119778</v>
      </c>
      <c r="Z101" s="31">
        <v>9579361</v>
      </c>
      <c r="AA101" s="32">
        <f t="shared" si="8"/>
        <v>1.6190032121023729E-4</v>
      </c>
      <c r="AB101" s="32">
        <f t="shared" si="8"/>
        <v>5.4303802623778731E-5</v>
      </c>
      <c r="AC101" s="32">
        <f t="shared" si="8"/>
        <v>4.3770981323144831E-5</v>
      </c>
      <c r="AD101" s="32">
        <f t="shared" si="8"/>
        <v>5.2214144584749987E-5</v>
      </c>
      <c r="AE101" s="32">
        <f t="shared" si="8"/>
        <v>3.5448832307757515E-5</v>
      </c>
      <c r="AF101" s="32">
        <f t="shared" si="7"/>
        <v>6.7905053644992373E-5</v>
      </c>
      <c r="AG101" s="32">
        <f t="shared" si="7"/>
        <v>1.4317838445592214E-4</v>
      </c>
      <c r="AH101" s="32">
        <f t="shared" si="7"/>
        <v>3.6789436866506707E-4</v>
      </c>
      <c r="AI101" s="32">
        <f t="shared" si="7"/>
        <v>1.1486655209389093E-3</v>
      </c>
      <c r="AJ101" s="32">
        <f t="shared" si="7"/>
        <v>3.7736479153099903E-3</v>
      </c>
      <c r="AK101" s="33">
        <f t="shared" si="6"/>
        <v>1.8518980545779618E-4</v>
      </c>
    </row>
    <row r="102" spans="1:37" x14ac:dyDescent="0.3">
      <c r="A102" t="s">
        <v>50</v>
      </c>
      <c r="B102" s="1">
        <v>2009</v>
      </c>
      <c r="C102" s="1" t="str">
        <f t="shared" si="5"/>
        <v>Hawaii, 2009</v>
      </c>
      <c r="D102" s="27">
        <v>99</v>
      </c>
      <c r="E102" s="27">
        <v>43</v>
      </c>
      <c r="F102" s="27">
        <v>70</v>
      </c>
      <c r="G102" s="27">
        <v>61</v>
      </c>
      <c r="H102" s="27">
        <v>51</v>
      </c>
      <c r="I102" s="27">
        <v>61</v>
      </c>
      <c r="J102" s="27">
        <v>71</v>
      </c>
      <c r="K102" s="27">
        <v>72</v>
      </c>
      <c r="L102" s="27">
        <v>46</v>
      </c>
      <c r="M102" s="27">
        <v>134</v>
      </c>
      <c r="N102" s="27">
        <v>56</v>
      </c>
      <c r="O102" s="28">
        <v>764</v>
      </c>
      <c r="P102" s="29">
        <v>86680.740999999995</v>
      </c>
      <c r="Q102" s="30">
        <v>154047.16699999999</v>
      </c>
      <c r="R102" s="30">
        <v>174733.16500000001</v>
      </c>
      <c r="S102" s="30">
        <v>183511.85700000002</v>
      </c>
      <c r="T102" s="30">
        <v>175700.70799999998</v>
      </c>
      <c r="U102" s="30">
        <v>180058.22700000001</v>
      </c>
      <c r="V102" s="30">
        <v>147014.962</v>
      </c>
      <c r="W102" s="30">
        <v>86906.005000000005</v>
      </c>
      <c r="X102" s="30">
        <v>67847.144</v>
      </c>
      <c r="Y102" s="30">
        <v>25893.421000000002</v>
      </c>
      <c r="Z102" s="31">
        <v>1280241</v>
      </c>
      <c r="AA102" s="32">
        <f t="shared" si="8"/>
        <v>1.1421222160525831E-3</v>
      </c>
      <c r="AB102" s="32">
        <f t="shared" si="8"/>
        <v>2.7913528588292705E-4</v>
      </c>
      <c r="AC102" s="32">
        <f t="shared" si="8"/>
        <v>4.0061083996275118E-4</v>
      </c>
      <c r="AD102" s="32">
        <f t="shared" si="8"/>
        <v>3.3240358959475843E-4</v>
      </c>
      <c r="AE102" s="32">
        <f t="shared" si="8"/>
        <v>2.902663317668589E-4</v>
      </c>
      <c r="AF102" s="32">
        <f t="shared" si="7"/>
        <v>3.3877929943184433E-4</v>
      </c>
      <c r="AG102" s="32">
        <f t="shared" si="7"/>
        <v>4.8294404211729144E-4</v>
      </c>
      <c r="AH102" s="32">
        <f t="shared" si="7"/>
        <v>8.284812999976238E-4</v>
      </c>
      <c r="AI102" s="32">
        <f t="shared" si="7"/>
        <v>6.7799464042288943E-4</v>
      </c>
      <c r="AJ102" s="32">
        <f t="shared" si="7"/>
        <v>5.1750597188374601E-3</v>
      </c>
      <c r="AK102" s="33">
        <f t="shared" si="6"/>
        <v>5.967626407840399E-4</v>
      </c>
    </row>
    <row r="103" spans="1:37" x14ac:dyDescent="0.3">
      <c r="A103" t="s">
        <v>50</v>
      </c>
      <c r="B103" s="1">
        <v>2010</v>
      </c>
      <c r="C103" s="1" t="str">
        <f t="shared" si="5"/>
        <v>Hawaii, 2010</v>
      </c>
      <c r="D103" s="27">
        <v>81</v>
      </c>
      <c r="E103" s="27">
        <v>51</v>
      </c>
      <c r="F103" s="27">
        <v>58</v>
      </c>
      <c r="G103" s="27">
        <v>64</v>
      </c>
      <c r="H103" s="27">
        <v>69</v>
      </c>
      <c r="I103" s="27">
        <v>57</v>
      </c>
      <c r="J103" s="27">
        <v>45</v>
      </c>
      <c r="K103" s="27">
        <v>27</v>
      </c>
      <c r="L103" s="27">
        <v>78</v>
      </c>
      <c r="M103" s="27">
        <v>142</v>
      </c>
      <c r="N103" s="27">
        <v>59</v>
      </c>
      <c r="O103" s="28">
        <v>731</v>
      </c>
      <c r="P103" s="29">
        <v>86252.421000000002</v>
      </c>
      <c r="Q103" s="30">
        <v>162175.20699999997</v>
      </c>
      <c r="R103" s="30">
        <v>180941.44699999999</v>
      </c>
      <c r="S103" s="30">
        <v>179787.30600000004</v>
      </c>
      <c r="T103" s="30">
        <v>179139.769</v>
      </c>
      <c r="U103" s="30">
        <v>194286.103</v>
      </c>
      <c r="V103" s="30">
        <v>165165.84499999997</v>
      </c>
      <c r="W103" s="30">
        <v>93984.443999999989</v>
      </c>
      <c r="X103" s="30">
        <v>64883.703000000001</v>
      </c>
      <c r="Y103" s="30">
        <v>27040.289000000001</v>
      </c>
      <c r="Z103" s="31">
        <v>1333591</v>
      </c>
      <c r="AA103" s="32">
        <f t="shared" si="8"/>
        <v>9.3910407453954247E-4</v>
      </c>
      <c r="AB103" s="32">
        <f t="shared" si="8"/>
        <v>3.1447470265908161E-4</v>
      </c>
      <c r="AC103" s="32">
        <f t="shared" si="8"/>
        <v>3.2054568459375705E-4</v>
      </c>
      <c r="AD103" s="32">
        <f t="shared" si="8"/>
        <v>3.5597618888621638E-4</v>
      </c>
      <c r="AE103" s="32">
        <f t="shared" si="8"/>
        <v>3.8517410391435749E-4</v>
      </c>
      <c r="AF103" s="32">
        <f t="shared" si="7"/>
        <v>2.9338176596192263E-4</v>
      </c>
      <c r="AG103" s="32">
        <f t="shared" si="7"/>
        <v>2.7245342401148378E-4</v>
      </c>
      <c r="AH103" s="32">
        <f t="shared" si="7"/>
        <v>2.8728158459925563E-4</v>
      </c>
      <c r="AI103" s="32">
        <f t="shared" si="7"/>
        <v>1.2021508698416919E-3</v>
      </c>
      <c r="AJ103" s="32">
        <f t="shared" si="7"/>
        <v>5.2514231634136748E-3</v>
      </c>
      <c r="AK103" s="33">
        <f t="shared" si="6"/>
        <v>5.4814407115824865E-4</v>
      </c>
    </row>
    <row r="104" spans="1:37" x14ac:dyDescent="0.3">
      <c r="A104" t="s">
        <v>50</v>
      </c>
      <c r="B104" s="1">
        <v>2011</v>
      </c>
      <c r="C104" s="1" t="str">
        <f t="shared" si="5"/>
        <v>Hawaii, 2011</v>
      </c>
      <c r="D104" s="27">
        <v>99</v>
      </c>
      <c r="E104" s="27">
        <v>41</v>
      </c>
      <c r="F104" s="27">
        <v>36</v>
      </c>
      <c r="G104" s="27">
        <v>48</v>
      </c>
      <c r="H104" s="27">
        <v>42</v>
      </c>
      <c r="I104" s="27">
        <v>64</v>
      </c>
      <c r="J104" s="27">
        <v>56</v>
      </c>
      <c r="K104" s="27">
        <v>62</v>
      </c>
      <c r="L104" s="27">
        <v>52</v>
      </c>
      <c r="M104" s="27">
        <v>183</v>
      </c>
      <c r="N104" s="27">
        <v>37</v>
      </c>
      <c r="O104" s="28">
        <v>720</v>
      </c>
      <c r="P104" s="29">
        <v>87273.002000000008</v>
      </c>
      <c r="Q104" s="30">
        <v>163361.682</v>
      </c>
      <c r="R104" s="30">
        <v>181829.715</v>
      </c>
      <c r="S104" s="30">
        <v>183269.86200000002</v>
      </c>
      <c r="T104" s="30">
        <v>177677.43799999999</v>
      </c>
      <c r="U104" s="30">
        <v>192700.54499999998</v>
      </c>
      <c r="V104" s="30">
        <v>170625.44500000001</v>
      </c>
      <c r="W104" s="30">
        <v>97991.892000000007</v>
      </c>
      <c r="X104" s="30">
        <v>65051.873999999996</v>
      </c>
      <c r="Y104" s="30">
        <v>28777.923999999999</v>
      </c>
      <c r="Z104" s="31">
        <v>1346554</v>
      </c>
      <c r="AA104" s="32">
        <f t="shared" si="8"/>
        <v>1.1343714290932721E-3</v>
      </c>
      <c r="AB104" s="32">
        <f t="shared" si="8"/>
        <v>2.5097684780204453E-4</v>
      </c>
      <c r="AC104" s="32">
        <f t="shared" si="8"/>
        <v>1.9798744116163852E-4</v>
      </c>
      <c r="AD104" s="32">
        <f t="shared" si="8"/>
        <v>2.6190885656911771E-4</v>
      </c>
      <c r="AE104" s="32">
        <f t="shared" si="8"/>
        <v>2.3638341746012794E-4</v>
      </c>
      <c r="AF104" s="32">
        <f t="shared" si="7"/>
        <v>3.3212153084465849E-4</v>
      </c>
      <c r="AG104" s="32">
        <f t="shared" si="7"/>
        <v>3.2820427222915081E-4</v>
      </c>
      <c r="AH104" s="32">
        <f t="shared" si="7"/>
        <v>6.3270540791272813E-4</v>
      </c>
      <c r="AI104" s="32">
        <f t="shared" si="7"/>
        <v>7.9936205988470068E-4</v>
      </c>
      <c r="AJ104" s="32">
        <f t="shared" si="7"/>
        <v>6.3590410482701953E-3</v>
      </c>
      <c r="AK104" s="33">
        <f t="shared" si="6"/>
        <v>5.3469819999792058E-4</v>
      </c>
    </row>
    <row r="105" spans="1:37" x14ac:dyDescent="0.3">
      <c r="A105" t="s">
        <v>50</v>
      </c>
      <c r="B105" s="1">
        <v>2012</v>
      </c>
      <c r="C105" s="1" t="str">
        <f t="shared" si="5"/>
        <v>Hawaii, 2012</v>
      </c>
      <c r="D105" s="27">
        <v>111</v>
      </c>
      <c r="E105" s="27">
        <v>56</v>
      </c>
      <c r="F105" s="27">
        <v>53</v>
      </c>
      <c r="G105" s="27">
        <v>48</v>
      </c>
      <c r="H105" s="27">
        <v>59</v>
      </c>
      <c r="I105" s="27">
        <v>62</v>
      </c>
      <c r="J105" s="27">
        <v>39</v>
      </c>
      <c r="K105" s="27">
        <v>67</v>
      </c>
      <c r="L105" s="27">
        <v>63</v>
      </c>
      <c r="M105" s="27">
        <v>239</v>
      </c>
      <c r="N105" s="27">
        <v>48</v>
      </c>
      <c r="O105" s="28">
        <v>845</v>
      </c>
      <c r="P105" s="29">
        <v>88387.760999999999</v>
      </c>
      <c r="Q105" s="30">
        <v>163162.182</v>
      </c>
      <c r="R105" s="30">
        <v>182441.715</v>
      </c>
      <c r="S105" s="30">
        <v>188610.20899999997</v>
      </c>
      <c r="T105" s="30">
        <v>176124.67700000003</v>
      </c>
      <c r="U105" s="30">
        <v>191607.36</v>
      </c>
      <c r="V105" s="30">
        <v>174620.43299999999</v>
      </c>
      <c r="W105" s="30">
        <v>102127.91000000002</v>
      </c>
      <c r="X105" s="30">
        <v>63200.142000000007</v>
      </c>
      <c r="Y105" s="30">
        <v>31781.493000000002</v>
      </c>
      <c r="Z105" s="31">
        <v>1362730</v>
      </c>
      <c r="AA105" s="32">
        <f t="shared" si="8"/>
        <v>1.2558299785419386E-3</v>
      </c>
      <c r="AB105" s="32">
        <f t="shared" si="8"/>
        <v>3.4321678782157987E-4</v>
      </c>
      <c r="AC105" s="32">
        <f t="shared" si="8"/>
        <v>2.9050373704281394E-4</v>
      </c>
      <c r="AD105" s="32">
        <f t="shared" si="8"/>
        <v>2.5449311707193966E-4</v>
      </c>
      <c r="AE105" s="32">
        <f t="shared" si="8"/>
        <v>3.3498996849828141E-4</v>
      </c>
      <c r="AF105" s="32">
        <f t="shared" si="7"/>
        <v>3.2357838446289331E-4</v>
      </c>
      <c r="AG105" s="32">
        <f t="shared" si="7"/>
        <v>2.2334156049195E-4</v>
      </c>
      <c r="AH105" s="32">
        <f t="shared" si="7"/>
        <v>6.5604005800177438E-4</v>
      </c>
      <c r="AI105" s="32">
        <f t="shared" si="7"/>
        <v>9.9683320331780262E-4</v>
      </c>
      <c r="AJ105" s="32">
        <f t="shared" si="7"/>
        <v>7.520099826650686E-3</v>
      </c>
      <c r="AK105" s="33">
        <f t="shared" si="6"/>
        <v>6.200788123839645E-4</v>
      </c>
    </row>
    <row r="106" spans="1:37" x14ac:dyDescent="0.3">
      <c r="A106" t="s">
        <v>50</v>
      </c>
      <c r="B106" s="1">
        <v>2013</v>
      </c>
      <c r="C106" s="1" t="str">
        <f t="shared" si="5"/>
        <v>Hawaii, 2013</v>
      </c>
      <c r="D106" s="27">
        <v>99</v>
      </c>
      <c r="E106" s="27">
        <v>55</v>
      </c>
      <c r="F106" s="27">
        <v>60</v>
      </c>
      <c r="G106" s="27">
        <v>35</v>
      </c>
      <c r="H106" s="27">
        <v>46</v>
      </c>
      <c r="I106" s="27">
        <v>47</v>
      </c>
      <c r="J106" s="27">
        <v>60</v>
      </c>
      <c r="K106" s="27">
        <v>55</v>
      </c>
      <c r="L106" s="27">
        <v>104</v>
      </c>
      <c r="M106" s="27">
        <v>252</v>
      </c>
      <c r="N106" s="27">
        <v>35</v>
      </c>
      <c r="O106" s="28">
        <v>848</v>
      </c>
      <c r="P106" s="29">
        <v>88924.034</v>
      </c>
      <c r="Q106" s="30">
        <v>165870.53600000002</v>
      </c>
      <c r="R106" s="30">
        <v>182628.31600000002</v>
      </c>
      <c r="S106" s="30">
        <v>192634.27100000001</v>
      </c>
      <c r="T106" s="30">
        <v>174196.14199999999</v>
      </c>
      <c r="U106" s="30">
        <v>188485.30199999997</v>
      </c>
      <c r="V106" s="30">
        <v>177111.15400000001</v>
      </c>
      <c r="W106" s="30">
        <v>106876.09300000001</v>
      </c>
      <c r="X106" s="30">
        <v>62754.050999999999</v>
      </c>
      <c r="Y106" s="30">
        <v>32578.109000000004</v>
      </c>
      <c r="Z106" s="31">
        <v>1376298</v>
      </c>
      <c r="AA106" s="32">
        <f t="shared" si="8"/>
        <v>1.1133098167813665E-3</v>
      </c>
      <c r="AB106" s="32">
        <f t="shared" si="8"/>
        <v>3.3158390469058345E-4</v>
      </c>
      <c r="AC106" s="32">
        <f t="shared" si="8"/>
        <v>3.2853612908526183E-4</v>
      </c>
      <c r="AD106" s="32">
        <f t="shared" si="8"/>
        <v>1.8169144990820454E-4</v>
      </c>
      <c r="AE106" s="32">
        <f t="shared" si="8"/>
        <v>2.6407014226526325E-4</v>
      </c>
      <c r="AF106" s="32">
        <f t="shared" si="7"/>
        <v>2.4935631320472941E-4</v>
      </c>
      <c r="AG106" s="32">
        <f t="shared" si="7"/>
        <v>3.3877030692262329E-4</v>
      </c>
      <c r="AH106" s="32">
        <f t="shared" si="7"/>
        <v>5.146146201283761E-4</v>
      </c>
      <c r="AI106" s="32">
        <f t="shared" si="7"/>
        <v>1.6572635286923548E-3</v>
      </c>
      <c r="AJ106" s="32">
        <f t="shared" si="7"/>
        <v>7.7352555975547868E-3</v>
      </c>
      <c r="AK106" s="33">
        <f t="shared" si="6"/>
        <v>6.161456312513714E-4</v>
      </c>
    </row>
    <row r="107" spans="1:37" x14ac:dyDescent="0.3">
      <c r="A107" t="s">
        <v>50</v>
      </c>
      <c r="B107" s="1">
        <v>2014</v>
      </c>
      <c r="C107" s="1" t="str">
        <f t="shared" si="5"/>
        <v>Hawaii, 2014</v>
      </c>
      <c r="D107" s="27">
        <v>80</v>
      </c>
      <c r="E107" s="27">
        <v>69</v>
      </c>
      <c r="F107" s="27">
        <v>61</v>
      </c>
      <c r="G107" s="27">
        <v>59</v>
      </c>
      <c r="H107" s="27">
        <v>32</v>
      </c>
      <c r="I107" s="27">
        <v>37</v>
      </c>
      <c r="J107" s="27">
        <v>58</v>
      </c>
      <c r="K107" s="27">
        <v>47</v>
      </c>
      <c r="L107" s="27">
        <v>86</v>
      </c>
      <c r="M107" s="27">
        <v>224</v>
      </c>
      <c r="N107" s="27">
        <v>56</v>
      </c>
      <c r="O107" s="28">
        <v>809</v>
      </c>
      <c r="P107" s="29">
        <v>89518.225999999995</v>
      </c>
      <c r="Q107" s="30">
        <v>168002.12400000001</v>
      </c>
      <c r="R107" s="30">
        <v>186077.82000000004</v>
      </c>
      <c r="S107" s="30">
        <v>199121.39999999997</v>
      </c>
      <c r="T107" s="30">
        <v>174280.28600000002</v>
      </c>
      <c r="U107" s="30">
        <v>184341.89500000002</v>
      </c>
      <c r="V107" s="30">
        <v>177204.234</v>
      </c>
      <c r="W107" s="30">
        <v>112912.48300000001</v>
      </c>
      <c r="X107" s="30">
        <v>64472.092000000004</v>
      </c>
      <c r="Y107" s="30">
        <v>35489.490000000005</v>
      </c>
      <c r="Z107" s="31">
        <v>1391072</v>
      </c>
      <c r="AA107" s="32">
        <f t="shared" si="8"/>
        <v>8.9367275888599493E-4</v>
      </c>
      <c r="AB107" s="32">
        <f t="shared" si="8"/>
        <v>4.1070909317789339E-4</v>
      </c>
      <c r="AC107" s="32">
        <f t="shared" si="8"/>
        <v>3.2781983365884224E-4</v>
      </c>
      <c r="AD107" s="32">
        <f t="shared" si="8"/>
        <v>2.963016531623422E-4</v>
      </c>
      <c r="AE107" s="32">
        <f t="shared" si="8"/>
        <v>1.8361227614694181E-4</v>
      </c>
      <c r="AF107" s="32">
        <f t="shared" si="7"/>
        <v>2.0071400481154865E-4</v>
      </c>
      <c r="AG107" s="32">
        <f t="shared" si="7"/>
        <v>3.2730594913437565E-4</v>
      </c>
      <c r="AH107" s="32">
        <f t="shared" si="7"/>
        <v>4.1625158486683885E-4</v>
      </c>
      <c r="AI107" s="32">
        <f t="shared" si="7"/>
        <v>1.3339104926205899E-3</v>
      </c>
      <c r="AJ107" s="32">
        <f t="shared" si="7"/>
        <v>6.3117277819433291E-3</v>
      </c>
      <c r="AK107" s="33">
        <f t="shared" si="6"/>
        <v>5.815658715005406E-4</v>
      </c>
    </row>
    <row r="108" spans="1:37" x14ac:dyDescent="0.3">
      <c r="A108" t="s">
        <v>50</v>
      </c>
      <c r="B108" s="1">
        <v>2015</v>
      </c>
      <c r="C108" s="1" t="str">
        <f t="shared" si="5"/>
        <v>Hawaii, 2015</v>
      </c>
      <c r="D108" s="27">
        <v>95</v>
      </c>
      <c r="E108" s="27">
        <v>65</v>
      </c>
      <c r="F108" s="27">
        <v>55</v>
      </c>
      <c r="G108" s="27">
        <v>61</v>
      </c>
      <c r="H108" s="27">
        <v>64</v>
      </c>
      <c r="I108" s="27">
        <v>50</v>
      </c>
      <c r="J108" s="27">
        <v>64</v>
      </c>
      <c r="K108" s="27">
        <v>63</v>
      </c>
      <c r="L108" s="27">
        <v>111</v>
      </c>
      <c r="M108" s="27">
        <v>326</v>
      </c>
      <c r="N108" s="27">
        <v>62</v>
      </c>
      <c r="O108" s="28">
        <v>1016</v>
      </c>
      <c r="P108" s="29">
        <v>91491.915999999997</v>
      </c>
      <c r="Q108" s="30">
        <v>168365.158</v>
      </c>
      <c r="R108" s="30">
        <v>184446.45100000003</v>
      </c>
      <c r="S108" s="30">
        <v>204911.745</v>
      </c>
      <c r="T108" s="30">
        <v>175432.212</v>
      </c>
      <c r="U108" s="30">
        <v>181558.927</v>
      </c>
      <c r="V108" s="30">
        <v>179121.21399999998</v>
      </c>
      <c r="W108" s="30">
        <v>119782.58900000001</v>
      </c>
      <c r="X108" s="30">
        <v>63347.564000000006</v>
      </c>
      <c r="Y108" s="30">
        <v>36780.498999999996</v>
      </c>
      <c r="Z108" s="31">
        <v>1406214</v>
      </c>
      <c r="AA108" s="32">
        <f t="shared" si="8"/>
        <v>1.0383431034497082E-3</v>
      </c>
      <c r="AB108" s="32">
        <f t="shared" si="8"/>
        <v>3.8606562528810146E-4</v>
      </c>
      <c r="AC108" s="32">
        <f t="shared" si="8"/>
        <v>2.9818952710562041E-4</v>
      </c>
      <c r="AD108" s="32">
        <f t="shared" si="8"/>
        <v>2.9768913441247596E-4</v>
      </c>
      <c r="AE108" s="32">
        <f t="shared" si="8"/>
        <v>3.6481327613881995E-4</v>
      </c>
      <c r="AF108" s="32">
        <f t="shared" si="7"/>
        <v>2.7539268283954994E-4</v>
      </c>
      <c r="AG108" s="32">
        <f t="shared" si="7"/>
        <v>3.5729994549947618E-4</v>
      </c>
      <c r="AH108" s="32">
        <f t="shared" si="7"/>
        <v>5.2595289954869811E-4</v>
      </c>
      <c r="AI108" s="32">
        <f t="shared" si="7"/>
        <v>1.7522378603224583E-3</v>
      </c>
      <c r="AJ108" s="32">
        <f t="shared" si="7"/>
        <v>8.8633925276543971E-3</v>
      </c>
      <c r="AK108" s="33">
        <f t="shared" si="6"/>
        <v>7.2250738507794691E-4</v>
      </c>
    </row>
    <row r="109" spans="1:37" x14ac:dyDescent="0.3">
      <c r="A109" t="s">
        <v>50</v>
      </c>
      <c r="B109" s="1">
        <v>2016</v>
      </c>
      <c r="C109" s="1" t="str">
        <f t="shared" si="5"/>
        <v>Hawaii, 2016</v>
      </c>
      <c r="D109" s="27">
        <v>117</v>
      </c>
      <c r="E109" s="27">
        <v>53</v>
      </c>
      <c r="F109" s="27">
        <v>58</v>
      </c>
      <c r="G109" s="27">
        <v>43</v>
      </c>
      <c r="H109" s="27">
        <v>58</v>
      </c>
      <c r="I109" s="27">
        <v>31</v>
      </c>
      <c r="J109" s="27">
        <v>47</v>
      </c>
      <c r="K109" s="27">
        <v>53</v>
      </c>
      <c r="L109" s="27">
        <v>76</v>
      </c>
      <c r="M109" s="27">
        <v>303</v>
      </c>
      <c r="N109" s="27">
        <v>55</v>
      </c>
      <c r="O109" s="28">
        <v>894</v>
      </c>
      <c r="P109" s="29">
        <v>92158.558000000019</v>
      </c>
      <c r="Q109" s="30">
        <v>167987.815</v>
      </c>
      <c r="R109" s="30">
        <v>180209.18800000002</v>
      </c>
      <c r="S109" s="30">
        <v>203187.95700000002</v>
      </c>
      <c r="T109" s="30">
        <v>176254.22400000002</v>
      </c>
      <c r="U109" s="30">
        <v>181785.24799999996</v>
      </c>
      <c r="V109" s="30">
        <v>184036.68400000001</v>
      </c>
      <c r="W109" s="30">
        <v>126288.821</v>
      </c>
      <c r="X109" s="30">
        <v>63877.96699999999</v>
      </c>
      <c r="Y109" s="30">
        <v>37988.300000000003</v>
      </c>
      <c r="Z109" s="31">
        <v>1413673</v>
      </c>
      <c r="AA109" s="32">
        <f t="shared" si="8"/>
        <v>1.2695511142871829E-3</v>
      </c>
      <c r="AB109" s="32">
        <f t="shared" si="8"/>
        <v>3.1549907354887615E-4</v>
      </c>
      <c r="AC109" s="32">
        <f t="shared" si="8"/>
        <v>3.2184818456648277E-4</v>
      </c>
      <c r="AD109" s="32">
        <f t="shared" si="8"/>
        <v>2.1162671565224701E-4</v>
      </c>
      <c r="AE109" s="32">
        <f t="shared" si="8"/>
        <v>3.2907012770371955E-4</v>
      </c>
      <c r="AF109" s="32">
        <f t="shared" si="7"/>
        <v>1.7053088928316122E-4</v>
      </c>
      <c r="AG109" s="32">
        <f t="shared" si="7"/>
        <v>2.5538386683820059E-4</v>
      </c>
      <c r="AH109" s="32">
        <f t="shared" si="7"/>
        <v>4.1967293367953766E-4</v>
      </c>
      <c r="AI109" s="32">
        <f t="shared" si="7"/>
        <v>1.1897686098870368E-3</v>
      </c>
      <c r="AJ109" s="32">
        <f t="shared" si="7"/>
        <v>7.9761400220594234E-3</v>
      </c>
      <c r="AK109" s="33">
        <f t="shared" si="6"/>
        <v>6.3239518615691183E-4</v>
      </c>
    </row>
    <row r="110" spans="1:37" x14ac:dyDescent="0.3">
      <c r="A110" t="s">
        <v>50</v>
      </c>
      <c r="B110" s="1">
        <v>2017</v>
      </c>
      <c r="C110" s="1" t="str">
        <f t="shared" si="5"/>
        <v>Hawaii, 2017</v>
      </c>
      <c r="D110" s="27">
        <v>129</v>
      </c>
      <c r="E110" s="27">
        <v>68</v>
      </c>
      <c r="F110" s="27">
        <v>64</v>
      </c>
      <c r="G110" s="27">
        <v>45</v>
      </c>
      <c r="H110" s="27">
        <v>42</v>
      </c>
      <c r="I110" s="27">
        <v>54</v>
      </c>
      <c r="J110" s="27">
        <v>56</v>
      </c>
      <c r="K110" s="27">
        <v>51</v>
      </c>
      <c r="L110" s="27">
        <v>99</v>
      </c>
      <c r="M110" s="27">
        <v>382</v>
      </c>
      <c r="N110" s="27">
        <v>52</v>
      </c>
      <c r="O110" s="28">
        <v>1042</v>
      </c>
      <c r="P110" s="29">
        <v>91415</v>
      </c>
      <c r="Q110" s="30">
        <v>168645</v>
      </c>
      <c r="R110" s="30">
        <v>177281</v>
      </c>
      <c r="S110" s="30">
        <v>205399</v>
      </c>
      <c r="T110" s="30">
        <v>177405</v>
      </c>
      <c r="U110" s="30">
        <v>179754</v>
      </c>
      <c r="V110" s="30">
        <v>183615</v>
      </c>
      <c r="W110" s="30">
        <v>133688</v>
      </c>
      <c r="X110" s="30">
        <v>66594</v>
      </c>
      <c r="Y110" s="30">
        <v>37850</v>
      </c>
      <c r="Z110" s="31">
        <v>1421646</v>
      </c>
      <c r="AA110" s="32">
        <f t="shared" si="8"/>
        <v>1.4111469671279331E-3</v>
      </c>
      <c r="AB110" s="32">
        <f t="shared" si="8"/>
        <v>4.0321385158172493E-4</v>
      </c>
      <c r="AC110" s="32">
        <f t="shared" si="8"/>
        <v>3.610087939485901E-4</v>
      </c>
      <c r="AD110" s="32">
        <f t="shared" si="8"/>
        <v>2.1908577938548873E-4</v>
      </c>
      <c r="AE110" s="32">
        <f t="shared" si="8"/>
        <v>2.3674642766551113E-4</v>
      </c>
      <c r="AF110" s="32">
        <f t="shared" si="7"/>
        <v>3.0041056110017021E-4</v>
      </c>
      <c r="AG110" s="32">
        <f t="shared" si="7"/>
        <v>3.0498597609127792E-4</v>
      </c>
      <c r="AH110" s="32">
        <f t="shared" si="7"/>
        <v>3.8148524923702949E-4</v>
      </c>
      <c r="AI110" s="32">
        <f t="shared" si="7"/>
        <v>1.4866204162537165E-3</v>
      </c>
      <c r="AJ110" s="32">
        <f t="shared" si="7"/>
        <v>1.0092470277410831E-2</v>
      </c>
      <c r="AK110" s="33">
        <f t="shared" si="6"/>
        <v>7.3295321057422174E-4</v>
      </c>
    </row>
    <row r="111" spans="1:37" x14ac:dyDescent="0.3">
      <c r="A111" t="s">
        <v>51</v>
      </c>
      <c r="B111" s="1">
        <v>2009</v>
      </c>
      <c r="C111" s="1" t="str">
        <f t="shared" si="5"/>
        <v>Idaho, 2009</v>
      </c>
      <c r="D111" s="27">
        <v>96</v>
      </c>
      <c r="E111" s="27">
        <v>66</v>
      </c>
      <c r="F111" s="27">
        <v>46</v>
      </c>
      <c r="G111" s="27">
        <v>61</v>
      </c>
      <c r="H111" s="27">
        <v>51</v>
      </c>
      <c r="I111" s="27">
        <v>69</v>
      </c>
      <c r="J111" s="27">
        <v>40</v>
      </c>
      <c r="K111" s="27">
        <v>70</v>
      </c>
      <c r="L111" s="27">
        <v>46</v>
      </c>
      <c r="M111" s="27">
        <v>58</v>
      </c>
      <c r="N111" s="27">
        <v>37</v>
      </c>
      <c r="O111" s="28">
        <v>640</v>
      </c>
      <c r="P111" s="29">
        <v>118308.21899999997</v>
      </c>
      <c r="Q111" s="30">
        <v>219654.72199999998</v>
      </c>
      <c r="R111" s="30">
        <v>226820.76600000003</v>
      </c>
      <c r="S111" s="30">
        <v>198791.48699999994</v>
      </c>
      <c r="T111" s="30">
        <v>190729.63400000005</v>
      </c>
      <c r="U111" s="30">
        <v>201623.93400000007</v>
      </c>
      <c r="V111" s="30">
        <v>158520.40900000004</v>
      </c>
      <c r="W111" s="30">
        <v>93117.267000000007</v>
      </c>
      <c r="X111" s="30">
        <v>57869.106000000014</v>
      </c>
      <c r="Y111" s="30">
        <v>23393.019999999997</v>
      </c>
      <c r="Z111" s="31">
        <v>1488444</v>
      </c>
      <c r="AA111" s="32">
        <f t="shared" si="8"/>
        <v>8.1143982059268447E-4</v>
      </c>
      <c r="AB111" s="32">
        <f t="shared" si="8"/>
        <v>3.0047157374563522E-4</v>
      </c>
      <c r="AC111" s="32">
        <f t="shared" si="8"/>
        <v>2.0280330064664358E-4</v>
      </c>
      <c r="AD111" s="32">
        <f t="shared" si="8"/>
        <v>3.0685418636664267E-4</v>
      </c>
      <c r="AE111" s="32">
        <f t="shared" si="8"/>
        <v>2.6739421101180315E-4</v>
      </c>
      <c r="AF111" s="32">
        <f t="shared" si="7"/>
        <v>3.4222127617051644E-4</v>
      </c>
      <c r="AG111" s="32">
        <f t="shared" si="7"/>
        <v>2.5233343928604166E-4</v>
      </c>
      <c r="AH111" s="32">
        <f t="shared" si="7"/>
        <v>7.5174027605427892E-4</v>
      </c>
      <c r="AI111" s="32">
        <f t="shared" si="7"/>
        <v>7.9489736717204497E-4</v>
      </c>
      <c r="AJ111" s="32">
        <f t="shared" si="7"/>
        <v>2.4793720520052565E-3</v>
      </c>
      <c r="AK111" s="33">
        <f t="shared" si="6"/>
        <v>4.2997922662861348E-4</v>
      </c>
    </row>
    <row r="112" spans="1:37" x14ac:dyDescent="0.3">
      <c r="A112" t="s">
        <v>51</v>
      </c>
      <c r="B112" s="1">
        <v>2010</v>
      </c>
      <c r="C112" s="1" t="str">
        <f t="shared" si="5"/>
        <v>Idaho, 2010</v>
      </c>
      <c r="D112" s="27">
        <v>95</v>
      </c>
      <c r="E112" s="27">
        <v>39</v>
      </c>
      <c r="F112" s="27">
        <v>29</v>
      </c>
      <c r="G112" s="27">
        <v>49</v>
      </c>
      <c r="H112" s="27">
        <v>62</v>
      </c>
      <c r="I112" s="27">
        <v>72</v>
      </c>
      <c r="J112" s="27">
        <v>48</v>
      </c>
      <c r="K112" s="27">
        <v>55</v>
      </c>
      <c r="L112" s="27">
        <v>71</v>
      </c>
      <c r="M112" s="27">
        <v>95</v>
      </c>
      <c r="N112" s="27">
        <v>77</v>
      </c>
      <c r="O112" s="28">
        <v>692</v>
      </c>
      <c r="P112" s="29">
        <v>117531.72699999997</v>
      </c>
      <c r="Q112" s="30">
        <v>226985.93000000002</v>
      </c>
      <c r="R112" s="30">
        <v>221152.67499999999</v>
      </c>
      <c r="S112" s="30">
        <v>198668.28800000006</v>
      </c>
      <c r="T112" s="30">
        <v>189624.17400000003</v>
      </c>
      <c r="U112" s="30">
        <v>203261.524</v>
      </c>
      <c r="V112" s="30">
        <v>165030.50300000006</v>
      </c>
      <c r="W112" s="30">
        <v>97975.627000000037</v>
      </c>
      <c r="X112" s="30">
        <v>56860.578000000009</v>
      </c>
      <c r="Y112" s="30">
        <v>23060.665000000005</v>
      </c>
      <c r="Z112" s="31">
        <v>1500717</v>
      </c>
      <c r="AA112" s="32">
        <f t="shared" si="8"/>
        <v>8.0829238559559349E-4</v>
      </c>
      <c r="AB112" s="32">
        <f t="shared" si="8"/>
        <v>1.7181681701592693E-4</v>
      </c>
      <c r="AC112" s="32">
        <f t="shared" si="8"/>
        <v>1.3113112920745817E-4</v>
      </c>
      <c r="AD112" s="32">
        <f t="shared" si="8"/>
        <v>2.4664228243613789E-4</v>
      </c>
      <c r="AE112" s="32">
        <f t="shared" si="8"/>
        <v>3.2696253168649261E-4</v>
      </c>
      <c r="AF112" s="32">
        <f t="shared" si="7"/>
        <v>3.5422345844459969E-4</v>
      </c>
      <c r="AG112" s="32">
        <f t="shared" si="7"/>
        <v>2.9085532145533112E-4</v>
      </c>
      <c r="AH112" s="32">
        <f t="shared" si="7"/>
        <v>5.613641033397008E-4</v>
      </c>
      <c r="AI112" s="32">
        <f t="shared" si="7"/>
        <v>1.2486682776949611E-3</v>
      </c>
      <c r="AJ112" s="32">
        <f t="shared" si="7"/>
        <v>4.1195689716666877E-3</v>
      </c>
      <c r="AK112" s="33">
        <f t="shared" si="6"/>
        <v>4.6111292135692474E-4</v>
      </c>
    </row>
    <row r="113" spans="1:37" x14ac:dyDescent="0.3">
      <c r="A113" t="s">
        <v>51</v>
      </c>
      <c r="B113" s="1">
        <v>2011</v>
      </c>
      <c r="C113" s="1" t="str">
        <f t="shared" si="5"/>
        <v>Idaho, 2011</v>
      </c>
      <c r="D113" s="27">
        <v>100</v>
      </c>
      <c r="E113" s="27">
        <v>52</v>
      </c>
      <c r="F113" s="27">
        <v>58</v>
      </c>
      <c r="G113" s="27">
        <v>50</v>
      </c>
      <c r="H113" s="27">
        <v>59</v>
      </c>
      <c r="I113" s="27">
        <v>56</v>
      </c>
      <c r="J113" s="27">
        <v>49</v>
      </c>
      <c r="K113" s="27">
        <v>48</v>
      </c>
      <c r="L113" s="27">
        <v>73</v>
      </c>
      <c r="M113" s="27">
        <v>102</v>
      </c>
      <c r="N113" s="27">
        <v>52</v>
      </c>
      <c r="O113" s="28">
        <v>699</v>
      </c>
      <c r="P113" s="29">
        <v>117179.97399999999</v>
      </c>
      <c r="Q113" s="30">
        <v>229639.18600000002</v>
      </c>
      <c r="R113" s="30">
        <v>221684.261</v>
      </c>
      <c r="S113" s="30">
        <v>202391.58100000006</v>
      </c>
      <c r="T113" s="30">
        <v>189217.48199999996</v>
      </c>
      <c r="U113" s="30">
        <v>204929.89500000002</v>
      </c>
      <c r="V113" s="30">
        <v>173301.23200000005</v>
      </c>
      <c r="W113" s="30">
        <v>104832.67700000001</v>
      </c>
      <c r="X113" s="30">
        <v>60059.778000000013</v>
      </c>
      <c r="Y113" s="30">
        <v>24388.022999999997</v>
      </c>
      <c r="Z113" s="31">
        <v>1527676</v>
      </c>
      <c r="AA113" s="32">
        <f t="shared" si="8"/>
        <v>8.5338813951264412E-4</v>
      </c>
      <c r="AB113" s="32">
        <f t="shared" si="8"/>
        <v>2.2644218918281653E-4</v>
      </c>
      <c r="AC113" s="32">
        <f t="shared" si="8"/>
        <v>2.6163336873067413E-4</v>
      </c>
      <c r="AD113" s="32">
        <f t="shared" si="8"/>
        <v>2.4704584920456739E-4</v>
      </c>
      <c r="AE113" s="32">
        <f t="shared" si="8"/>
        <v>3.1181051230773707E-4</v>
      </c>
      <c r="AF113" s="32">
        <f t="shared" si="7"/>
        <v>2.7326418139237319E-4</v>
      </c>
      <c r="AG113" s="32">
        <f t="shared" si="7"/>
        <v>2.8274467200556304E-4</v>
      </c>
      <c r="AH113" s="32">
        <f t="shared" si="7"/>
        <v>4.5787250095692965E-4</v>
      </c>
      <c r="AI113" s="32">
        <f t="shared" si="7"/>
        <v>1.2154557081446419E-3</v>
      </c>
      <c r="AJ113" s="32">
        <f t="shared" si="7"/>
        <v>4.1823808350516974E-3</v>
      </c>
      <c r="AK113" s="33">
        <f t="shared" si="6"/>
        <v>4.5755775439294718E-4</v>
      </c>
    </row>
    <row r="114" spans="1:37" x14ac:dyDescent="0.3">
      <c r="A114" t="s">
        <v>51</v>
      </c>
      <c r="B114" s="1">
        <v>2012</v>
      </c>
      <c r="C114" s="1" t="str">
        <f t="shared" si="5"/>
        <v>Idaho, 2012</v>
      </c>
      <c r="D114" s="27">
        <v>87</v>
      </c>
      <c r="E114" s="27">
        <v>55</v>
      </c>
      <c r="F114" s="27">
        <v>44</v>
      </c>
      <c r="G114" s="27">
        <v>54</v>
      </c>
      <c r="H114" s="27">
        <v>46</v>
      </c>
      <c r="I114" s="27">
        <v>39</v>
      </c>
      <c r="J114" s="27">
        <v>57</v>
      </c>
      <c r="K114" s="27">
        <v>46</v>
      </c>
      <c r="L114" s="27">
        <v>68</v>
      </c>
      <c r="M114" s="27">
        <v>82</v>
      </c>
      <c r="N114" s="27">
        <v>53</v>
      </c>
      <c r="O114" s="28">
        <v>631</v>
      </c>
      <c r="P114" s="29">
        <v>117812.431</v>
      </c>
      <c r="Q114" s="30">
        <v>232266.21200000003</v>
      </c>
      <c r="R114" s="30">
        <v>222793.745</v>
      </c>
      <c r="S114" s="30">
        <v>205098.25400000004</v>
      </c>
      <c r="T114" s="30">
        <v>188371.77199999994</v>
      </c>
      <c r="U114" s="30">
        <v>202527.39700000006</v>
      </c>
      <c r="V114" s="30">
        <v>176644.93600000002</v>
      </c>
      <c r="W114" s="30">
        <v>108499.50700000001</v>
      </c>
      <c r="X114" s="30">
        <v>59568.392</v>
      </c>
      <c r="Y114" s="30">
        <v>23997.508999999998</v>
      </c>
      <c r="Z114" s="31">
        <v>1536377</v>
      </c>
      <c r="AA114" s="32">
        <f t="shared" si="8"/>
        <v>7.3846197096128169E-4</v>
      </c>
      <c r="AB114" s="32">
        <f t="shared" si="8"/>
        <v>2.3679724883962026E-4</v>
      </c>
      <c r="AC114" s="32">
        <f t="shared" si="8"/>
        <v>1.9749207950160361E-4</v>
      </c>
      <c r="AD114" s="32">
        <f t="shared" si="8"/>
        <v>2.6328844320634725E-4</v>
      </c>
      <c r="AE114" s="32">
        <f t="shared" si="8"/>
        <v>2.4419794702573597E-4</v>
      </c>
      <c r="AF114" s="32">
        <f t="shared" si="7"/>
        <v>1.9256653952847669E-4</v>
      </c>
      <c r="AG114" s="32">
        <f t="shared" si="7"/>
        <v>3.2268120043928118E-4</v>
      </c>
      <c r="AH114" s="32">
        <f t="shared" si="7"/>
        <v>4.2396506004400552E-4</v>
      </c>
      <c r="AI114" s="32">
        <f t="shared" si="7"/>
        <v>1.141544999233822E-3</v>
      </c>
      <c r="AJ114" s="32">
        <f t="shared" si="7"/>
        <v>3.4170213250050247E-3</v>
      </c>
      <c r="AK114" s="33">
        <f t="shared" si="6"/>
        <v>4.1070648675422763E-4</v>
      </c>
    </row>
    <row r="115" spans="1:37" x14ac:dyDescent="0.3">
      <c r="A115" t="s">
        <v>51</v>
      </c>
      <c r="B115" s="1">
        <v>2013</v>
      </c>
      <c r="C115" s="1" t="str">
        <f t="shared" si="5"/>
        <v>Idaho, 2013</v>
      </c>
      <c r="D115" s="27">
        <v>127</v>
      </c>
      <c r="E115" s="27">
        <v>82</v>
      </c>
      <c r="F115" s="27">
        <v>65</v>
      </c>
      <c r="G115" s="27">
        <v>70</v>
      </c>
      <c r="H115" s="27">
        <v>65</v>
      </c>
      <c r="I115" s="27">
        <v>61</v>
      </c>
      <c r="J115" s="27">
        <v>37</v>
      </c>
      <c r="K115" s="27">
        <v>68</v>
      </c>
      <c r="L115" s="27">
        <v>44</v>
      </c>
      <c r="M115" s="27">
        <v>125</v>
      </c>
      <c r="N115" s="27">
        <v>72</v>
      </c>
      <c r="O115" s="28">
        <v>816</v>
      </c>
      <c r="P115" s="29">
        <v>114506.65000000001</v>
      </c>
      <c r="Q115" s="30">
        <v>232327.62400000004</v>
      </c>
      <c r="R115" s="30">
        <v>220126.48100000003</v>
      </c>
      <c r="S115" s="30">
        <v>206252.511</v>
      </c>
      <c r="T115" s="30">
        <v>190127.43800000002</v>
      </c>
      <c r="U115" s="30">
        <v>201755.08000000007</v>
      </c>
      <c r="V115" s="30">
        <v>183513.65299999996</v>
      </c>
      <c r="W115" s="30">
        <v>114798.38700000006</v>
      </c>
      <c r="X115" s="30">
        <v>60846.183000000012</v>
      </c>
      <c r="Y115" s="30">
        <v>24666.833000000002</v>
      </c>
      <c r="Z115" s="31">
        <v>1548501</v>
      </c>
      <c r="AA115" s="32">
        <f t="shared" si="8"/>
        <v>1.1091058903565862E-3</v>
      </c>
      <c r="AB115" s="32">
        <f t="shared" si="8"/>
        <v>3.5294984982069968E-4</v>
      </c>
      <c r="AC115" s="32">
        <f t="shared" si="8"/>
        <v>2.9528478220664417E-4</v>
      </c>
      <c r="AD115" s="32">
        <f t="shared" si="8"/>
        <v>3.3938980747730144E-4</v>
      </c>
      <c r="AE115" s="32">
        <f t="shared" si="8"/>
        <v>3.4187595795615776E-4</v>
      </c>
      <c r="AF115" s="32">
        <f t="shared" si="7"/>
        <v>3.023467860140125E-4</v>
      </c>
      <c r="AG115" s="32">
        <f t="shared" si="7"/>
        <v>2.0161987620615895E-4</v>
      </c>
      <c r="AH115" s="32">
        <f t="shared" si="7"/>
        <v>5.9234281749969157E-4</v>
      </c>
      <c r="AI115" s="32">
        <f t="shared" si="7"/>
        <v>7.2313492532473226E-4</v>
      </c>
      <c r="AJ115" s="32">
        <f t="shared" si="7"/>
        <v>5.0675333959572348E-3</v>
      </c>
      <c r="AK115" s="33">
        <f t="shared" si="6"/>
        <v>5.2696123541411989E-4</v>
      </c>
    </row>
    <row r="116" spans="1:37" x14ac:dyDescent="0.3">
      <c r="A116" t="s">
        <v>51</v>
      </c>
      <c r="B116" s="1">
        <v>2014</v>
      </c>
      <c r="C116" s="1" t="str">
        <f t="shared" si="5"/>
        <v>Idaho, 2014</v>
      </c>
      <c r="D116" s="27">
        <v>102</v>
      </c>
      <c r="E116" s="27">
        <v>62</v>
      </c>
      <c r="F116" s="27">
        <v>40</v>
      </c>
      <c r="G116" s="27">
        <v>79</v>
      </c>
      <c r="H116" s="27">
        <v>58</v>
      </c>
      <c r="I116" s="27">
        <v>62</v>
      </c>
      <c r="J116" s="27">
        <v>56</v>
      </c>
      <c r="K116" s="27">
        <v>51</v>
      </c>
      <c r="L116" s="27">
        <v>44</v>
      </c>
      <c r="M116" s="27">
        <v>79</v>
      </c>
      <c r="N116" s="27">
        <v>49</v>
      </c>
      <c r="O116" s="28">
        <v>682</v>
      </c>
      <c r="P116" s="29">
        <v>101824.107</v>
      </c>
      <c r="Q116" s="30">
        <v>215064.48600000003</v>
      </c>
      <c r="R116" s="30">
        <v>196346.09499999991</v>
      </c>
      <c r="S116" s="30">
        <v>192699.78999999995</v>
      </c>
      <c r="T116" s="30">
        <v>180519.70099999994</v>
      </c>
      <c r="U116" s="30">
        <v>187041.72099999996</v>
      </c>
      <c r="V116" s="30">
        <v>174870.52900000004</v>
      </c>
      <c r="W116" s="30">
        <v>113223.49</v>
      </c>
      <c r="X116" s="30">
        <v>58975.053000000007</v>
      </c>
      <c r="Y116" s="30">
        <v>23106.078000000001</v>
      </c>
      <c r="Z116" s="31">
        <v>1444261</v>
      </c>
      <c r="AA116" s="32">
        <f t="shared" si="8"/>
        <v>1.001727420010666E-3</v>
      </c>
      <c r="AB116" s="32">
        <f t="shared" si="8"/>
        <v>2.8828562610751078E-4</v>
      </c>
      <c r="AC116" s="32">
        <f t="shared" si="8"/>
        <v>2.0372190238873871E-4</v>
      </c>
      <c r="AD116" s="32">
        <f t="shared" si="8"/>
        <v>4.0996412087423664E-4</v>
      </c>
      <c r="AE116" s="32">
        <f t="shared" si="8"/>
        <v>3.2129457161022011E-4</v>
      </c>
      <c r="AF116" s="32">
        <f t="shared" si="7"/>
        <v>3.3147684735000921E-4</v>
      </c>
      <c r="AG116" s="32">
        <f t="shared" si="7"/>
        <v>3.2023692225463551E-4</v>
      </c>
      <c r="AH116" s="32">
        <f t="shared" si="7"/>
        <v>4.504365657691703E-4</v>
      </c>
      <c r="AI116" s="32">
        <f t="shared" si="7"/>
        <v>7.4607817647912912E-4</v>
      </c>
      <c r="AJ116" s="32">
        <f t="shared" si="7"/>
        <v>3.4190138196538589E-3</v>
      </c>
      <c r="AK116" s="33">
        <f t="shared" si="6"/>
        <v>4.7221381730864435E-4</v>
      </c>
    </row>
    <row r="117" spans="1:37" x14ac:dyDescent="0.3">
      <c r="A117" t="s">
        <v>51</v>
      </c>
      <c r="B117" s="1">
        <v>2015</v>
      </c>
      <c r="C117" s="1" t="str">
        <f t="shared" si="5"/>
        <v>Idaho, 2015</v>
      </c>
      <c r="D117" s="27">
        <v>116</v>
      </c>
      <c r="E117" s="27">
        <v>68</v>
      </c>
      <c r="F117" s="27">
        <v>61</v>
      </c>
      <c r="G117" s="27">
        <v>70</v>
      </c>
      <c r="H117" s="27">
        <v>50</v>
      </c>
      <c r="I117" s="27">
        <v>53</v>
      </c>
      <c r="J117" s="27">
        <v>51</v>
      </c>
      <c r="K117" s="27">
        <v>58</v>
      </c>
      <c r="L117" s="27">
        <v>47</v>
      </c>
      <c r="M117" s="27">
        <v>95</v>
      </c>
      <c r="N117" s="27">
        <v>57</v>
      </c>
      <c r="O117" s="28">
        <v>726</v>
      </c>
      <c r="P117" s="29">
        <v>104119.02000000003</v>
      </c>
      <c r="Q117" s="30">
        <v>219056.80500000005</v>
      </c>
      <c r="R117" s="30">
        <v>209009.62499999994</v>
      </c>
      <c r="S117" s="30">
        <v>198346.38200000001</v>
      </c>
      <c r="T117" s="30">
        <v>184144.761</v>
      </c>
      <c r="U117" s="30">
        <v>186386.87900000004</v>
      </c>
      <c r="V117" s="30">
        <v>175532.55199999994</v>
      </c>
      <c r="W117" s="30">
        <v>113707.28800000002</v>
      </c>
      <c r="X117" s="30">
        <v>58388.152999999991</v>
      </c>
      <c r="Y117" s="30">
        <v>23978.047999999999</v>
      </c>
      <c r="Z117" s="31">
        <v>1473057</v>
      </c>
      <c r="AA117" s="32">
        <f t="shared" si="8"/>
        <v>1.1141096026451264E-3</v>
      </c>
      <c r="AB117" s="32">
        <f t="shared" si="8"/>
        <v>3.1042176480205666E-4</v>
      </c>
      <c r="AC117" s="32">
        <f t="shared" si="8"/>
        <v>2.918525881284176E-4</v>
      </c>
      <c r="AD117" s="32">
        <f t="shared" si="8"/>
        <v>3.5291795743468612E-4</v>
      </c>
      <c r="AE117" s="32">
        <f t="shared" si="8"/>
        <v>2.7152550921608895E-4</v>
      </c>
      <c r="AF117" s="32">
        <f t="shared" si="7"/>
        <v>2.843547801452268E-4</v>
      </c>
      <c r="AG117" s="32">
        <f t="shared" si="7"/>
        <v>2.9054439999254392E-4</v>
      </c>
      <c r="AH117" s="32">
        <f t="shared" si="7"/>
        <v>5.1008164050135466E-4</v>
      </c>
      <c r="AI117" s="32">
        <f t="shared" si="7"/>
        <v>8.0495781395928054E-4</v>
      </c>
      <c r="AJ117" s="32">
        <f t="shared" si="7"/>
        <v>3.9619572035221552E-3</v>
      </c>
      <c r="AK117" s="33">
        <f t="shared" si="6"/>
        <v>4.9285261873776784E-4</v>
      </c>
    </row>
    <row r="118" spans="1:37" x14ac:dyDescent="0.3">
      <c r="A118" t="s">
        <v>51</v>
      </c>
      <c r="B118" s="1">
        <v>2016</v>
      </c>
      <c r="C118" s="1" t="str">
        <f t="shared" si="5"/>
        <v>Idaho, 2016</v>
      </c>
      <c r="D118" s="27">
        <v>106</v>
      </c>
      <c r="E118" s="27">
        <v>51</v>
      </c>
      <c r="F118" s="27">
        <v>59</v>
      </c>
      <c r="G118" s="27">
        <v>71</v>
      </c>
      <c r="H118" s="27">
        <v>62</v>
      </c>
      <c r="I118" s="27">
        <v>63</v>
      </c>
      <c r="J118" s="27">
        <v>70</v>
      </c>
      <c r="K118" s="27">
        <v>60</v>
      </c>
      <c r="L118" s="27">
        <v>60</v>
      </c>
      <c r="M118" s="27">
        <v>88</v>
      </c>
      <c r="N118" s="27">
        <v>49</v>
      </c>
      <c r="O118" s="28">
        <v>739</v>
      </c>
      <c r="P118" s="29">
        <v>103205.98700000001</v>
      </c>
      <c r="Q118" s="30">
        <v>222182.109</v>
      </c>
      <c r="R118" s="30">
        <v>209291.58100000001</v>
      </c>
      <c r="S118" s="30">
        <v>197818.40199999997</v>
      </c>
      <c r="T118" s="30">
        <v>183991.49599999998</v>
      </c>
      <c r="U118" s="30">
        <v>183502.60300000003</v>
      </c>
      <c r="V118" s="30">
        <v>182073.25400000002</v>
      </c>
      <c r="W118" s="30">
        <v>126987.90700000002</v>
      </c>
      <c r="X118" s="30">
        <v>62145.650999999998</v>
      </c>
      <c r="Y118" s="30">
        <v>24230.867000000002</v>
      </c>
      <c r="Z118" s="31">
        <v>1496560</v>
      </c>
      <c r="AA118" s="32">
        <f t="shared" si="8"/>
        <v>1.0270721988250545E-3</v>
      </c>
      <c r="AB118" s="32">
        <f t="shared" si="8"/>
        <v>2.2954143440955454E-4</v>
      </c>
      <c r="AC118" s="32">
        <f t="shared" si="8"/>
        <v>2.8190336046054332E-4</v>
      </c>
      <c r="AD118" s="32">
        <f t="shared" si="8"/>
        <v>3.5891504168555568E-4</v>
      </c>
      <c r="AE118" s="32">
        <f t="shared" si="8"/>
        <v>3.3697209571033657E-4</v>
      </c>
      <c r="AF118" s="32">
        <f t="shared" si="7"/>
        <v>3.4331938059756017E-4</v>
      </c>
      <c r="AG118" s="32">
        <f t="shared" si="7"/>
        <v>3.8446064131967455E-4</v>
      </c>
      <c r="AH118" s="32">
        <f t="shared" si="7"/>
        <v>4.7248593521586262E-4</v>
      </c>
      <c r="AI118" s="32">
        <f t="shared" si="7"/>
        <v>9.6547383500737651E-4</v>
      </c>
      <c r="AJ118" s="32">
        <f t="shared" si="7"/>
        <v>3.6317313779981541E-3</v>
      </c>
      <c r="AK118" s="33">
        <f t="shared" si="6"/>
        <v>4.937991126316352E-4</v>
      </c>
    </row>
    <row r="119" spans="1:37" x14ac:dyDescent="0.3">
      <c r="A119" t="s">
        <v>51</v>
      </c>
      <c r="B119" s="1">
        <v>2017</v>
      </c>
      <c r="C119" s="1" t="str">
        <f t="shared" si="5"/>
        <v>Idaho, 2017</v>
      </c>
      <c r="D119" s="27">
        <v>86</v>
      </c>
      <c r="E119" s="27">
        <v>23</v>
      </c>
      <c r="F119" s="27">
        <v>44</v>
      </c>
      <c r="G119" s="27">
        <v>57</v>
      </c>
      <c r="H119" s="27">
        <v>56</v>
      </c>
      <c r="I119" s="27">
        <v>45</v>
      </c>
      <c r="J119" s="27">
        <v>56</v>
      </c>
      <c r="K119" s="27">
        <v>57</v>
      </c>
      <c r="L119" s="27">
        <v>79</v>
      </c>
      <c r="M119" s="27">
        <v>108</v>
      </c>
      <c r="N119" s="27">
        <v>39</v>
      </c>
      <c r="O119" s="28">
        <v>650</v>
      </c>
      <c r="P119" s="29">
        <v>99591</v>
      </c>
      <c r="Q119" s="30">
        <v>218641</v>
      </c>
      <c r="R119" s="30">
        <v>201717</v>
      </c>
      <c r="S119" s="30">
        <v>197214</v>
      </c>
      <c r="T119" s="30">
        <v>185399</v>
      </c>
      <c r="U119" s="30">
        <v>180529</v>
      </c>
      <c r="V119" s="30">
        <v>179452</v>
      </c>
      <c r="W119" s="30">
        <v>128573</v>
      </c>
      <c r="X119" s="30">
        <v>61426</v>
      </c>
      <c r="Y119" s="30">
        <v>24074</v>
      </c>
      <c r="Z119" s="31">
        <v>1476616</v>
      </c>
      <c r="AA119" s="32">
        <f t="shared" si="8"/>
        <v>8.6353184524706045E-4</v>
      </c>
      <c r="AB119" s="32">
        <f t="shared" si="8"/>
        <v>1.0519527444532362E-4</v>
      </c>
      <c r="AC119" s="32">
        <f t="shared" si="8"/>
        <v>2.1812737647297948E-4</v>
      </c>
      <c r="AD119" s="32">
        <f t="shared" si="8"/>
        <v>2.890261340472786E-4</v>
      </c>
      <c r="AE119" s="32">
        <f t="shared" si="8"/>
        <v>3.0205125162487394E-4</v>
      </c>
      <c r="AF119" s="32">
        <f t="shared" si="7"/>
        <v>2.4926743071750247E-4</v>
      </c>
      <c r="AG119" s="32">
        <f t="shared" si="7"/>
        <v>3.1206116398814168E-4</v>
      </c>
      <c r="AH119" s="32">
        <f t="shared" si="7"/>
        <v>4.4332791488104032E-4</v>
      </c>
      <c r="AI119" s="32">
        <f t="shared" si="7"/>
        <v>1.2861003483866766E-3</v>
      </c>
      <c r="AJ119" s="32">
        <f t="shared" si="7"/>
        <v>4.4861676497466143E-3</v>
      </c>
      <c r="AK119" s="33">
        <f t="shared" si="6"/>
        <v>4.401956906873554E-4</v>
      </c>
    </row>
    <row r="120" spans="1:37" x14ac:dyDescent="0.3">
      <c r="A120" t="s">
        <v>52</v>
      </c>
      <c r="B120" s="1">
        <v>2009</v>
      </c>
      <c r="C120" s="1" t="str">
        <f t="shared" si="5"/>
        <v>Illinois, 2009</v>
      </c>
      <c r="D120" s="27">
        <v>103</v>
      </c>
      <c r="E120" s="27">
        <v>67</v>
      </c>
      <c r="F120" s="27">
        <v>49</v>
      </c>
      <c r="G120" s="27">
        <v>43</v>
      </c>
      <c r="H120" s="27">
        <v>73</v>
      </c>
      <c r="I120" s="27">
        <v>113</v>
      </c>
      <c r="J120" s="27">
        <v>173</v>
      </c>
      <c r="K120" s="27">
        <v>263</v>
      </c>
      <c r="L120" s="27">
        <v>589</v>
      </c>
      <c r="M120" s="27">
        <v>1154</v>
      </c>
      <c r="N120" s="27">
        <v>66</v>
      </c>
      <c r="O120" s="28">
        <v>2693</v>
      </c>
      <c r="P120" s="29">
        <v>892111.46400000039</v>
      </c>
      <c r="Q120" s="30">
        <v>1754655.1490000009</v>
      </c>
      <c r="R120" s="30">
        <v>1830364.514</v>
      </c>
      <c r="S120" s="30">
        <v>1758476.6700000009</v>
      </c>
      <c r="T120" s="30">
        <v>1816055.436</v>
      </c>
      <c r="U120" s="30">
        <v>1851699.4279999991</v>
      </c>
      <c r="V120" s="30">
        <v>1329711.6629999999</v>
      </c>
      <c r="W120" s="30">
        <v>796071.00700000033</v>
      </c>
      <c r="X120" s="30">
        <v>534055.47799999989</v>
      </c>
      <c r="Y120" s="30">
        <v>221032.01100000003</v>
      </c>
      <c r="Z120" s="31">
        <v>12785043</v>
      </c>
      <c r="AA120" s="32">
        <f t="shared" si="8"/>
        <v>1.1545642462453543E-4</v>
      </c>
      <c r="AB120" s="32">
        <f t="shared" si="8"/>
        <v>3.818414121896494E-5</v>
      </c>
      <c r="AC120" s="32">
        <f t="shared" si="8"/>
        <v>2.677062389770522E-5</v>
      </c>
      <c r="AD120" s="32">
        <f t="shared" si="8"/>
        <v>2.44529829332339E-5</v>
      </c>
      <c r="AE120" s="32">
        <f t="shared" si="8"/>
        <v>4.0197010814156667E-5</v>
      </c>
      <c r="AF120" s="32">
        <f t="shared" si="7"/>
        <v>6.1025022901287006E-5</v>
      </c>
      <c r="AG120" s="32">
        <f t="shared" si="7"/>
        <v>1.3010339370092447E-4</v>
      </c>
      <c r="AH120" s="32">
        <f t="shared" si="7"/>
        <v>3.3037253924259535E-4</v>
      </c>
      <c r="AI120" s="32">
        <f t="shared" si="7"/>
        <v>1.1028816747761178E-3</v>
      </c>
      <c r="AJ120" s="32">
        <f t="shared" si="7"/>
        <v>5.2209632205717019E-3</v>
      </c>
      <c r="AK120" s="33">
        <f t="shared" si="6"/>
        <v>2.1063675734215364E-4</v>
      </c>
    </row>
    <row r="121" spans="1:37" x14ac:dyDescent="0.3">
      <c r="A121" t="s">
        <v>52</v>
      </c>
      <c r="B121" s="1">
        <v>2010</v>
      </c>
      <c r="C121" s="1" t="str">
        <f t="shared" si="5"/>
        <v>Illinois, 2010</v>
      </c>
      <c r="D121" s="27">
        <v>83</v>
      </c>
      <c r="E121" s="27">
        <v>40</v>
      </c>
      <c r="F121" s="27">
        <v>57</v>
      </c>
      <c r="G121" s="27">
        <v>54</v>
      </c>
      <c r="H121" s="27">
        <v>60</v>
      </c>
      <c r="I121" s="27">
        <v>61</v>
      </c>
      <c r="J121" s="27">
        <v>149</v>
      </c>
      <c r="K121" s="27">
        <v>247</v>
      </c>
      <c r="L121" s="27">
        <v>597</v>
      </c>
      <c r="M121" s="27">
        <v>1068</v>
      </c>
      <c r="N121" s="27">
        <v>66</v>
      </c>
      <c r="O121" s="28">
        <v>2482</v>
      </c>
      <c r="P121" s="29">
        <v>844430.41999999981</v>
      </c>
      <c r="Q121" s="30">
        <v>1740909.3790000004</v>
      </c>
      <c r="R121" s="30">
        <v>1802923.1360000002</v>
      </c>
      <c r="S121" s="30">
        <v>1752281.885</v>
      </c>
      <c r="T121" s="30">
        <v>1773524.8269999998</v>
      </c>
      <c r="U121" s="30">
        <v>1847470.77</v>
      </c>
      <c r="V121" s="30">
        <v>1384736.9149999998</v>
      </c>
      <c r="W121" s="30">
        <v>807045.62500000023</v>
      </c>
      <c r="X121" s="30">
        <v>523224.81300000008</v>
      </c>
      <c r="Y121" s="30">
        <v>224392.30999999988</v>
      </c>
      <c r="Z121" s="31">
        <v>12697753</v>
      </c>
      <c r="AA121" s="32">
        <f t="shared" si="8"/>
        <v>9.8291106092554106E-5</v>
      </c>
      <c r="AB121" s="32">
        <f t="shared" si="8"/>
        <v>2.2976497503262628E-5</v>
      </c>
      <c r="AC121" s="32">
        <f t="shared" si="8"/>
        <v>3.1615324503772962E-5</v>
      </c>
      <c r="AD121" s="32">
        <f t="shared" si="8"/>
        <v>3.0816959566981996E-5</v>
      </c>
      <c r="AE121" s="32">
        <f t="shared" si="8"/>
        <v>3.3830933227753456E-5</v>
      </c>
      <c r="AF121" s="32">
        <f t="shared" si="7"/>
        <v>3.3018113731780451E-5</v>
      </c>
      <c r="AG121" s="32">
        <f t="shared" si="7"/>
        <v>1.0760166670359908E-4</v>
      </c>
      <c r="AH121" s="32">
        <f t="shared" si="7"/>
        <v>3.0605456785668089E-4</v>
      </c>
      <c r="AI121" s="32">
        <f t="shared" si="7"/>
        <v>1.141000933378899E-3</v>
      </c>
      <c r="AJ121" s="32">
        <f t="shared" si="7"/>
        <v>4.7595213935807358E-3</v>
      </c>
      <c r="AK121" s="33">
        <f t="shared" si="6"/>
        <v>1.9546765478900086E-4</v>
      </c>
    </row>
    <row r="122" spans="1:37" x14ac:dyDescent="0.3">
      <c r="A122" t="s">
        <v>52</v>
      </c>
      <c r="B122" s="1">
        <v>2011</v>
      </c>
      <c r="C122" s="1" t="str">
        <f t="shared" si="5"/>
        <v>Illinois, 2011</v>
      </c>
      <c r="D122" s="27">
        <v>124</v>
      </c>
      <c r="E122" s="27">
        <v>57</v>
      </c>
      <c r="F122" s="27">
        <v>65</v>
      </c>
      <c r="G122" s="27">
        <v>49</v>
      </c>
      <c r="H122" s="27">
        <v>56</v>
      </c>
      <c r="I122" s="27">
        <v>81</v>
      </c>
      <c r="J122" s="27">
        <v>201</v>
      </c>
      <c r="K122" s="27">
        <v>256</v>
      </c>
      <c r="L122" s="27">
        <v>625</v>
      </c>
      <c r="M122" s="27">
        <v>1168</v>
      </c>
      <c r="N122" s="27">
        <v>30</v>
      </c>
      <c r="O122" s="28">
        <v>2712</v>
      </c>
      <c r="P122" s="29">
        <v>827501.74500000023</v>
      </c>
      <c r="Q122" s="30">
        <v>1716449.8410000002</v>
      </c>
      <c r="R122" s="30">
        <v>1779423.0480000007</v>
      </c>
      <c r="S122" s="30">
        <v>1742590.7090000003</v>
      </c>
      <c r="T122" s="30">
        <v>1727647.7290000003</v>
      </c>
      <c r="U122" s="30">
        <v>1827616.82</v>
      </c>
      <c r="V122" s="30">
        <v>1408120.3889999997</v>
      </c>
      <c r="W122" s="30">
        <v>817745.02199999976</v>
      </c>
      <c r="X122" s="30">
        <v>517324.07599999983</v>
      </c>
      <c r="Y122" s="30">
        <v>224655.02899999998</v>
      </c>
      <c r="Z122" s="31">
        <v>12596826</v>
      </c>
      <c r="AA122" s="32">
        <f t="shared" si="8"/>
        <v>1.4984862660319824E-4</v>
      </c>
      <c r="AB122" s="32">
        <f t="shared" si="8"/>
        <v>3.3208077881723543E-5</v>
      </c>
      <c r="AC122" s="32">
        <f t="shared" si="8"/>
        <v>3.6528693990480432E-5</v>
      </c>
      <c r="AD122" s="32">
        <f t="shared" si="8"/>
        <v>2.8119052710959905E-5</v>
      </c>
      <c r="AE122" s="32">
        <f t="shared" si="8"/>
        <v>3.2414015345833265E-5</v>
      </c>
      <c r="AF122" s="32">
        <f t="shared" si="7"/>
        <v>4.4320012331687777E-5</v>
      </c>
      <c r="AG122" s="32">
        <f t="shared" si="7"/>
        <v>1.4274347674401869E-4</v>
      </c>
      <c r="AH122" s="32">
        <f t="shared" si="7"/>
        <v>3.1305601760055722E-4</v>
      </c>
      <c r="AI122" s="32">
        <f t="shared" si="7"/>
        <v>1.2081401755598944E-3</v>
      </c>
      <c r="AJ122" s="32">
        <f t="shared" si="7"/>
        <v>5.1990823673036942E-3</v>
      </c>
      <c r="AK122" s="33">
        <f t="shared" si="6"/>
        <v>2.1529232840082098E-4</v>
      </c>
    </row>
    <row r="123" spans="1:37" x14ac:dyDescent="0.3">
      <c r="A123" t="s">
        <v>52</v>
      </c>
      <c r="B123" s="1">
        <v>2012</v>
      </c>
      <c r="C123" s="1" t="str">
        <f t="shared" si="5"/>
        <v>Illinois, 2012</v>
      </c>
      <c r="D123" s="27">
        <v>114</v>
      </c>
      <c r="E123" s="27">
        <v>67</v>
      </c>
      <c r="F123" s="27">
        <v>42</v>
      </c>
      <c r="G123" s="27">
        <v>57</v>
      </c>
      <c r="H123" s="27">
        <v>50</v>
      </c>
      <c r="I123" s="27">
        <v>63</v>
      </c>
      <c r="J123" s="27">
        <v>185</v>
      </c>
      <c r="K123" s="27">
        <v>292</v>
      </c>
      <c r="L123" s="27">
        <v>559</v>
      </c>
      <c r="M123" s="27">
        <v>1132</v>
      </c>
      <c r="N123" s="27">
        <v>53</v>
      </c>
      <c r="O123" s="28">
        <v>2614</v>
      </c>
      <c r="P123" s="29">
        <v>826377.38000000024</v>
      </c>
      <c r="Q123" s="30">
        <v>1713518.1089999999</v>
      </c>
      <c r="R123" s="30">
        <v>1784022.7379999997</v>
      </c>
      <c r="S123" s="30">
        <v>1761458.1759999988</v>
      </c>
      <c r="T123" s="30">
        <v>1714650.4849999994</v>
      </c>
      <c r="U123" s="30">
        <v>1834331.2109999999</v>
      </c>
      <c r="V123" s="30">
        <v>1461518.0109999999</v>
      </c>
      <c r="W123" s="30">
        <v>848057.79600000009</v>
      </c>
      <c r="X123" s="30">
        <v>522722.27200000011</v>
      </c>
      <c r="Y123" s="30">
        <v>232086.13700000002</v>
      </c>
      <c r="Z123" s="31">
        <v>12694526</v>
      </c>
      <c r="AA123" s="32">
        <f t="shared" si="8"/>
        <v>1.3795150104423232E-4</v>
      </c>
      <c r="AB123" s="32">
        <f t="shared" si="8"/>
        <v>3.9100841507359876E-5</v>
      </c>
      <c r="AC123" s="32">
        <f t="shared" si="8"/>
        <v>2.354230083809616E-5</v>
      </c>
      <c r="AD123" s="32">
        <f t="shared" si="8"/>
        <v>3.2359553452150794E-5</v>
      </c>
      <c r="AE123" s="32">
        <f t="shared" si="8"/>
        <v>2.916046181854958E-5</v>
      </c>
      <c r="AF123" s="32">
        <f t="shared" si="7"/>
        <v>3.4344942517581141E-5</v>
      </c>
      <c r="AG123" s="32">
        <f t="shared" si="7"/>
        <v>1.2658071854579423E-4</v>
      </c>
      <c r="AH123" s="32">
        <f t="shared" si="7"/>
        <v>3.4431615554654955E-4</v>
      </c>
      <c r="AI123" s="32">
        <f t="shared" si="7"/>
        <v>1.0694015348938488E-3</v>
      </c>
      <c r="AJ123" s="32">
        <f t="shared" si="7"/>
        <v>4.8774994259997524E-3</v>
      </c>
      <c r="AK123" s="33">
        <f t="shared" si="6"/>
        <v>2.0591552610944275E-4</v>
      </c>
    </row>
    <row r="124" spans="1:37" x14ac:dyDescent="0.3">
      <c r="A124" t="s">
        <v>52</v>
      </c>
      <c r="B124" s="1">
        <v>2013</v>
      </c>
      <c r="C124" s="1" t="str">
        <f t="shared" si="5"/>
        <v>Illinois, 2013</v>
      </c>
      <c r="D124" s="27">
        <v>88</v>
      </c>
      <c r="E124" s="27">
        <v>57</v>
      </c>
      <c r="F124" s="27">
        <v>46</v>
      </c>
      <c r="G124" s="27">
        <v>32</v>
      </c>
      <c r="H124" s="27">
        <v>60</v>
      </c>
      <c r="I124" s="27">
        <v>47</v>
      </c>
      <c r="J124" s="27">
        <v>175</v>
      </c>
      <c r="K124" s="27">
        <v>315</v>
      </c>
      <c r="L124" s="27">
        <v>600</v>
      </c>
      <c r="M124" s="27">
        <v>1207</v>
      </c>
      <c r="N124" s="27">
        <v>46</v>
      </c>
      <c r="O124" s="28">
        <v>2673</v>
      </c>
      <c r="P124" s="29">
        <v>807051.41000000015</v>
      </c>
      <c r="Q124" s="30">
        <v>1691533.4950000006</v>
      </c>
      <c r="R124" s="30">
        <v>1759155.007</v>
      </c>
      <c r="S124" s="30">
        <v>1749901.165</v>
      </c>
      <c r="T124" s="30">
        <v>1677480.0220000006</v>
      </c>
      <c r="U124" s="30">
        <v>1801245.5509999997</v>
      </c>
      <c r="V124" s="30">
        <v>1481345.3850000002</v>
      </c>
      <c r="W124" s="30">
        <v>865991.64999999991</v>
      </c>
      <c r="X124" s="30">
        <v>505455.18200000009</v>
      </c>
      <c r="Y124" s="30">
        <v>233899.00700000004</v>
      </c>
      <c r="Z124" s="31">
        <v>12579352</v>
      </c>
      <c r="AA124" s="32">
        <f t="shared" si="8"/>
        <v>1.0903890249073474E-4</v>
      </c>
      <c r="AB124" s="32">
        <f t="shared" si="8"/>
        <v>3.3697234000086993E-5</v>
      </c>
      <c r="AC124" s="32">
        <f t="shared" si="8"/>
        <v>2.6148917984462752E-5</v>
      </c>
      <c r="AD124" s="32">
        <f t="shared" si="8"/>
        <v>1.828674706894089E-5</v>
      </c>
      <c r="AE124" s="32">
        <f t="shared" si="8"/>
        <v>3.5767937151623487E-5</v>
      </c>
      <c r="AF124" s="32">
        <f t="shared" si="7"/>
        <v>2.6093055427066537E-5</v>
      </c>
      <c r="AG124" s="32">
        <f t="shared" si="7"/>
        <v>1.1813585256486283E-4</v>
      </c>
      <c r="AH124" s="32">
        <f t="shared" si="7"/>
        <v>3.6374484673148987E-4</v>
      </c>
      <c r="AI124" s="32">
        <f t="shared" si="7"/>
        <v>1.1870488647992531E-3</v>
      </c>
      <c r="AJ124" s="32">
        <f t="shared" si="7"/>
        <v>5.1603468329388833E-3</v>
      </c>
      <c r="AK124" s="33">
        <f t="shared" si="6"/>
        <v>2.1249107267210584E-4</v>
      </c>
    </row>
    <row r="125" spans="1:37" x14ac:dyDescent="0.3">
      <c r="A125" t="s">
        <v>52</v>
      </c>
      <c r="B125" s="1">
        <v>2014</v>
      </c>
      <c r="C125" s="1" t="str">
        <f t="shared" si="5"/>
        <v>Illinois, 2014</v>
      </c>
      <c r="D125" s="27">
        <v>114</v>
      </c>
      <c r="E125" s="27">
        <v>66</v>
      </c>
      <c r="F125" s="27">
        <v>60</v>
      </c>
      <c r="G125" s="27">
        <v>74</v>
      </c>
      <c r="H125" s="27">
        <v>69</v>
      </c>
      <c r="I125" s="27">
        <v>90</v>
      </c>
      <c r="J125" s="27">
        <v>189</v>
      </c>
      <c r="K125" s="27">
        <v>333</v>
      </c>
      <c r="L125" s="27">
        <v>577</v>
      </c>
      <c r="M125" s="27">
        <v>1215</v>
      </c>
      <c r="N125" s="27">
        <v>54</v>
      </c>
      <c r="O125" s="28">
        <v>2841</v>
      </c>
      <c r="P125" s="29">
        <v>792756.65899999975</v>
      </c>
      <c r="Q125" s="30">
        <v>1670455.438000001</v>
      </c>
      <c r="R125" s="30">
        <v>1752529.1679999998</v>
      </c>
      <c r="S125" s="30">
        <v>1748266.9009999987</v>
      </c>
      <c r="T125" s="30">
        <v>1662763.156</v>
      </c>
      <c r="U125" s="30">
        <v>1774545.281</v>
      </c>
      <c r="V125" s="30">
        <v>1520209.8089999992</v>
      </c>
      <c r="W125" s="30">
        <v>893008.6370000001</v>
      </c>
      <c r="X125" s="30">
        <v>503403.63099999976</v>
      </c>
      <c r="Y125" s="30">
        <v>234245.38500000004</v>
      </c>
      <c r="Z125" s="31">
        <v>12557745</v>
      </c>
      <c r="AA125" s="32">
        <f t="shared" si="8"/>
        <v>1.4380200873216511E-4</v>
      </c>
      <c r="AB125" s="32">
        <f t="shared" si="8"/>
        <v>3.9510182970831194E-5</v>
      </c>
      <c r="AC125" s="32">
        <f t="shared" si="8"/>
        <v>3.4236234748932867E-5</v>
      </c>
      <c r="AD125" s="32">
        <f t="shared" si="8"/>
        <v>4.2327633130657808E-5</v>
      </c>
      <c r="AE125" s="32">
        <f t="shared" si="8"/>
        <v>4.1497190836239578E-5</v>
      </c>
      <c r="AF125" s="32">
        <f t="shared" si="7"/>
        <v>5.0717218074752527E-5</v>
      </c>
      <c r="AG125" s="32">
        <f t="shared" si="7"/>
        <v>1.2432494441298535E-4</v>
      </c>
      <c r="AH125" s="32">
        <f t="shared" si="7"/>
        <v>3.7289672932916992E-4</v>
      </c>
      <c r="AI125" s="32">
        <f t="shared" si="7"/>
        <v>1.1461975330885133E-3</v>
      </c>
      <c r="AJ125" s="32">
        <f t="shared" si="7"/>
        <v>5.18686846274474E-3</v>
      </c>
      <c r="AK125" s="33">
        <f t="shared" si="6"/>
        <v>2.2623488532375836E-4</v>
      </c>
    </row>
    <row r="126" spans="1:37" x14ac:dyDescent="0.3">
      <c r="A126" t="s">
        <v>52</v>
      </c>
      <c r="B126" s="1">
        <v>2015</v>
      </c>
      <c r="C126" s="1" t="str">
        <f t="shared" si="5"/>
        <v>Illinois, 2015</v>
      </c>
      <c r="D126" s="27">
        <v>97</v>
      </c>
      <c r="E126" s="27">
        <v>64</v>
      </c>
      <c r="F126" s="27">
        <v>39</v>
      </c>
      <c r="G126" s="27">
        <v>73</v>
      </c>
      <c r="H126" s="27">
        <v>58</v>
      </c>
      <c r="I126" s="27">
        <v>58</v>
      </c>
      <c r="J126" s="27">
        <v>189</v>
      </c>
      <c r="K126" s="27">
        <v>315</v>
      </c>
      <c r="L126" s="27">
        <v>541</v>
      </c>
      <c r="M126" s="27">
        <v>1141</v>
      </c>
      <c r="N126" s="27">
        <v>58</v>
      </c>
      <c r="O126" s="28">
        <v>2633</v>
      </c>
      <c r="P126" s="29">
        <v>781949.47799999989</v>
      </c>
      <c r="Q126" s="30">
        <v>1655995.8919999998</v>
      </c>
      <c r="R126" s="30">
        <v>1734058.1299999994</v>
      </c>
      <c r="S126" s="30">
        <v>1740618.7099999995</v>
      </c>
      <c r="T126" s="30">
        <v>1645406.9440000004</v>
      </c>
      <c r="U126" s="30">
        <v>1745461.2689999999</v>
      </c>
      <c r="V126" s="30">
        <v>1535897.3769999999</v>
      </c>
      <c r="W126" s="30">
        <v>922776.73600000038</v>
      </c>
      <c r="X126" s="30">
        <v>511390.95200000005</v>
      </c>
      <c r="Y126" s="30">
        <v>234441.43499999994</v>
      </c>
      <c r="Z126" s="31">
        <v>12512172</v>
      </c>
      <c r="AA126" s="32">
        <f t="shared" si="8"/>
        <v>1.2404893503874175E-4</v>
      </c>
      <c r="AB126" s="32">
        <f t="shared" si="8"/>
        <v>3.8647438866955842E-5</v>
      </c>
      <c r="AC126" s="32">
        <f t="shared" si="8"/>
        <v>2.2490595514234584E-5</v>
      </c>
      <c r="AD126" s="32">
        <f t="shared" si="8"/>
        <v>4.1939110260397017E-5</v>
      </c>
      <c r="AE126" s="32">
        <f t="shared" si="8"/>
        <v>3.5249638523465466E-5</v>
      </c>
      <c r="AF126" s="32">
        <f t="shared" si="7"/>
        <v>3.3229038667371317E-5</v>
      </c>
      <c r="AG126" s="32">
        <f t="shared" si="7"/>
        <v>1.2305509653852349E-4</v>
      </c>
      <c r="AH126" s="32">
        <f t="shared" si="7"/>
        <v>3.4136101151123932E-4</v>
      </c>
      <c r="AI126" s="32">
        <f t="shared" si="7"/>
        <v>1.0578990455036442E-3</v>
      </c>
      <c r="AJ126" s="32">
        <f t="shared" si="7"/>
        <v>4.8668871183116594E-3</v>
      </c>
      <c r="AK126" s="33">
        <f t="shared" si="6"/>
        <v>2.1043508672994584E-4</v>
      </c>
    </row>
    <row r="127" spans="1:37" x14ac:dyDescent="0.3">
      <c r="A127" t="s">
        <v>52</v>
      </c>
      <c r="B127" s="1">
        <v>2016</v>
      </c>
      <c r="C127" s="1" t="str">
        <f t="shared" si="5"/>
        <v>Illinois, 2016</v>
      </c>
      <c r="D127" s="27">
        <v>126</v>
      </c>
      <c r="E127" s="27">
        <v>67</v>
      </c>
      <c r="F127" s="27">
        <v>64</v>
      </c>
      <c r="G127" s="27">
        <v>54</v>
      </c>
      <c r="H127" s="27">
        <v>51</v>
      </c>
      <c r="I127" s="27">
        <v>69</v>
      </c>
      <c r="J127" s="27">
        <v>217</v>
      </c>
      <c r="K127" s="27">
        <v>333</v>
      </c>
      <c r="L127" s="27">
        <v>519</v>
      </c>
      <c r="M127" s="27">
        <v>947</v>
      </c>
      <c r="N127" s="27">
        <v>53</v>
      </c>
      <c r="O127" s="28">
        <v>2500</v>
      </c>
      <c r="P127" s="29">
        <v>776096.74100000004</v>
      </c>
      <c r="Q127" s="30">
        <v>1644534.9009999998</v>
      </c>
      <c r="R127" s="30">
        <v>1735604.6369999999</v>
      </c>
      <c r="S127" s="30">
        <v>1745897.0730000003</v>
      </c>
      <c r="T127" s="30">
        <v>1640071.4989999998</v>
      </c>
      <c r="U127" s="30">
        <v>1737169.7000000004</v>
      </c>
      <c r="V127" s="30">
        <v>1584104.7389999996</v>
      </c>
      <c r="W127" s="30">
        <v>979831.17600000021</v>
      </c>
      <c r="X127" s="30">
        <v>522576.48000000016</v>
      </c>
      <c r="Y127" s="30">
        <v>241424.48300000004</v>
      </c>
      <c r="Z127" s="31">
        <v>12610524</v>
      </c>
      <c r="AA127" s="32">
        <f t="shared" si="8"/>
        <v>1.623508943455285E-4</v>
      </c>
      <c r="AB127" s="32">
        <f t="shared" si="8"/>
        <v>4.0741002188070927E-5</v>
      </c>
      <c r="AC127" s="32">
        <f t="shared" si="8"/>
        <v>3.6874757439358006E-5</v>
      </c>
      <c r="AD127" s="32">
        <f t="shared" si="8"/>
        <v>3.0929658360221098E-5</v>
      </c>
      <c r="AE127" s="32">
        <f t="shared" si="8"/>
        <v>3.1096205275865237E-5</v>
      </c>
      <c r="AF127" s="32">
        <f t="shared" si="7"/>
        <v>3.9719780974766014E-5</v>
      </c>
      <c r="AG127" s="32">
        <f t="shared" si="7"/>
        <v>1.3698589156231294E-4</v>
      </c>
      <c r="AH127" s="32">
        <f t="shared" si="7"/>
        <v>3.3985446488793897E-4</v>
      </c>
      <c r="AI127" s="32">
        <f t="shared" si="7"/>
        <v>9.931560639698132E-4</v>
      </c>
      <c r="AJ127" s="32">
        <f t="shared" si="7"/>
        <v>3.922551632843301E-3</v>
      </c>
      <c r="AK127" s="33">
        <f t="shared" si="6"/>
        <v>1.9824711487008786E-4</v>
      </c>
    </row>
    <row r="128" spans="1:37" x14ac:dyDescent="0.3">
      <c r="A128" t="s">
        <v>52</v>
      </c>
      <c r="B128" s="1">
        <v>2017</v>
      </c>
      <c r="C128" s="1" t="str">
        <f t="shared" si="5"/>
        <v>Illinois, 2017</v>
      </c>
      <c r="D128" s="27">
        <v>123</v>
      </c>
      <c r="E128" s="27">
        <v>40</v>
      </c>
      <c r="F128" s="27">
        <v>41</v>
      </c>
      <c r="G128" s="27">
        <v>66</v>
      </c>
      <c r="H128" s="27">
        <v>50</v>
      </c>
      <c r="I128" s="27">
        <v>85</v>
      </c>
      <c r="J128" s="27">
        <v>207</v>
      </c>
      <c r="K128" s="27">
        <v>370</v>
      </c>
      <c r="L128" s="27">
        <v>587</v>
      </c>
      <c r="M128" s="27">
        <v>1069</v>
      </c>
      <c r="N128" s="27">
        <v>62</v>
      </c>
      <c r="O128" s="28">
        <v>2700</v>
      </c>
      <c r="P128" s="29">
        <v>766953</v>
      </c>
      <c r="Q128" s="30">
        <v>1615926</v>
      </c>
      <c r="R128" s="30">
        <v>1702949</v>
      </c>
      <c r="S128" s="30">
        <v>1740976</v>
      </c>
      <c r="T128" s="30">
        <v>1617912</v>
      </c>
      <c r="U128" s="30">
        <v>1687542</v>
      </c>
      <c r="V128" s="30">
        <v>1581046</v>
      </c>
      <c r="W128" s="30">
        <v>1006280</v>
      </c>
      <c r="X128" s="30">
        <v>527415</v>
      </c>
      <c r="Y128" s="30">
        <v>241123</v>
      </c>
      <c r="Z128" s="31">
        <v>12488122</v>
      </c>
      <c r="AA128" s="32">
        <f t="shared" si="8"/>
        <v>1.6037488607515714E-4</v>
      </c>
      <c r="AB128" s="32">
        <f t="shared" si="8"/>
        <v>2.4753608766738081E-5</v>
      </c>
      <c r="AC128" s="32">
        <f t="shared" si="8"/>
        <v>2.4075882483855945E-5</v>
      </c>
      <c r="AD128" s="32">
        <f t="shared" si="8"/>
        <v>3.7909770151914789E-5</v>
      </c>
      <c r="AE128" s="32">
        <f t="shared" si="8"/>
        <v>3.0904029390968115E-5</v>
      </c>
      <c r="AF128" s="32">
        <f t="shared" si="7"/>
        <v>5.036911673902042E-5</v>
      </c>
      <c r="AG128" s="32">
        <f t="shared" si="7"/>
        <v>1.3092598191323971E-4</v>
      </c>
      <c r="AH128" s="32">
        <f t="shared" si="7"/>
        <v>3.6769090114083556E-4</v>
      </c>
      <c r="AI128" s="32">
        <f t="shared" si="7"/>
        <v>1.1129755505626499E-3</v>
      </c>
      <c r="AJ128" s="32">
        <f t="shared" si="7"/>
        <v>4.43342194647545E-3</v>
      </c>
      <c r="AK128" s="33">
        <f t="shared" si="6"/>
        <v>2.1620544706401812E-4</v>
      </c>
    </row>
    <row r="129" spans="1:37" x14ac:dyDescent="0.3">
      <c r="A129" t="s">
        <v>53</v>
      </c>
      <c r="B129" s="1">
        <v>2009</v>
      </c>
      <c r="C129" s="1" t="str">
        <f t="shared" si="5"/>
        <v>Indiana, 2009</v>
      </c>
      <c r="D129" s="27">
        <v>99</v>
      </c>
      <c r="E129" s="27">
        <v>72</v>
      </c>
      <c r="F129" s="27">
        <v>44</v>
      </c>
      <c r="G129" s="27">
        <v>44</v>
      </c>
      <c r="H129" s="27">
        <v>48</v>
      </c>
      <c r="I129" s="27">
        <v>49</v>
      </c>
      <c r="J129" s="27">
        <v>79</v>
      </c>
      <c r="K129" s="27">
        <v>120</v>
      </c>
      <c r="L129" s="27">
        <v>296</v>
      </c>
      <c r="M129" s="27">
        <v>537</v>
      </c>
      <c r="N129" s="27">
        <v>57</v>
      </c>
      <c r="O129" s="28">
        <v>1445</v>
      </c>
      <c r="P129" s="29">
        <v>441193.0959999999</v>
      </c>
      <c r="Q129" s="30">
        <v>872152.48199999996</v>
      </c>
      <c r="R129" s="30">
        <v>908840.45299999986</v>
      </c>
      <c r="S129" s="30">
        <v>827150.11599999992</v>
      </c>
      <c r="T129" s="30">
        <v>879121.60200000019</v>
      </c>
      <c r="U129" s="30">
        <v>924322.82299999986</v>
      </c>
      <c r="V129" s="30">
        <v>687855.61800000037</v>
      </c>
      <c r="W129" s="30">
        <v>412614.74799999996</v>
      </c>
      <c r="X129" s="30">
        <v>277850.85499999992</v>
      </c>
      <c r="Y129" s="30">
        <v>108053.95500000005</v>
      </c>
      <c r="Z129" s="31">
        <v>6342469</v>
      </c>
      <c r="AA129" s="32">
        <f t="shared" si="8"/>
        <v>2.2439154396921936E-4</v>
      </c>
      <c r="AB129" s="32">
        <f t="shared" si="8"/>
        <v>8.2554371495786223E-5</v>
      </c>
      <c r="AC129" s="32">
        <f t="shared" si="8"/>
        <v>4.8413337956909811E-5</v>
      </c>
      <c r="AD129" s="32">
        <f t="shared" si="8"/>
        <v>5.3194697248884876E-5</v>
      </c>
      <c r="AE129" s="32">
        <f t="shared" si="8"/>
        <v>5.4599955103821908E-5</v>
      </c>
      <c r="AF129" s="32">
        <f t="shared" si="7"/>
        <v>5.301178201027717E-5</v>
      </c>
      <c r="AG129" s="32">
        <f t="shared" si="7"/>
        <v>1.1484968346947478E-4</v>
      </c>
      <c r="AH129" s="32">
        <f t="shared" si="7"/>
        <v>2.9082818920471551E-4</v>
      </c>
      <c r="AI129" s="32">
        <f t="shared" si="7"/>
        <v>1.0653197378140157E-3</v>
      </c>
      <c r="AJ129" s="32">
        <f t="shared" si="7"/>
        <v>4.9697394232353625E-3</v>
      </c>
      <c r="AK129" s="33">
        <f t="shared" si="6"/>
        <v>2.2782925702908441E-4</v>
      </c>
    </row>
    <row r="130" spans="1:37" x14ac:dyDescent="0.3">
      <c r="A130" t="s">
        <v>53</v>
      </c>
      <c r="B130" s="1">
        <v>2010</v>
      </c>
      <c r="C130" s="1" t="str">
        <f t="shared" si="5"/>
        <v>Indiana, 2010</v>
      </c>
      <c r="D130" s="27">
        <v>140</v>
      </c>
      <c r="E130" s="27">
        <v>50</v>
      </c>
      <c r="F130" s="27">
        <v>51</v>
      </c>
      <c r="G130" s="27">
        <v>49</v>
      </c>
      <c r="H130" s="27">
        <v>49</v>
      </c>
      <c r="I130" s="27">
        <v>71</v>
      </c>
      <c r="J130" s="27">
        <v>90</v>
      </c>
      <c r="K130" s="27">
        <v>116</v>
      </c>
      <c r="L130" s="27">
        <v>311</v>
      </c>
      <c r="M130" s="27">
        <v>549</v>
      </c>
      <c r="N130" s="27">
        <v>58</v>
      </c>
      <c r="O130" s="28">
        <v>1534</v>
      </c>
      <c r="P130" s="29">
        <v>434321.478</v>
      </c>
      <c r="Q130" s="30">
        <v>892091.10699999984</v>
      </c>
      <c r="R130" s="30">
        <v>924793.87200000044</v>
      </c>
      <c r="S130" s="30">
        <v>821468.18099999987</v>
      </c>
      <c r="T130" s="30">
        <v>867656.28399999987</v>
      </c>
      <c r="U130" s="30">
        <v>938173.78199999966</v>
      </c>
      <c r="V130" s="30">
        <v>722595.39900000021</v>
      </c>
      <c r="W130" s="30">
        <v>429479.3350000002</v>
      </c>
      <c r="X130" s="30">
        <v>279332.81299999991</v>
      </c>
      <c r="Y130" s="30">
        <v>107851.05799999996</v>
      </c>
      <c r="Z130" s="31">
        <v>6416681</v>
      </c>
      <c r="AA130" s="32">
        <f t="shared" si="8"/>
        <v>3.2234187598707701E-4</v>
      </c>
      <c r="AB130" s="32">
        <f t="shared" si="8"/>
        <v>5.6048087025712282E-5</v>
      </c>
      <c r="AC130" s="32">
        <f t="shared" si="8"/>
        <v>5.5147424246773094E-5</v>
      </c>
      <c r="AD130" s="32">
        <f t="shared" si="8"/>
        <v>5.9649297603165484E-5</v>
      </c>
      <c r="AE130" s="32">
        <f t="shared" si="8"/>
        <v>5.6473975816903098E-5</v>
      </c>
      <c r="AF130" s="32">
        <f t="shared" si="7"/>
        <v>7.567894281658792E-5</v>
      </c>
      <c r="AG130" s="32">
        <f t="shared" si="7"/>
        <v>1.2455102831342548E-4</v>
      </c>
      <c r="AH130" s="32">
        <f t="shared" si="7"/>
        <v>2.7009448545411378E-4</v>
      </c>
      <c r="AI130" s="32">
        <f t="shared" si="7"/>
        <v>1.1133672290766646E-3</v>
      </c>
      <c r="AJ130" s="32">
        <f t="shared" si="7"/>
        <v>5.0903534020037174E-3</v>
      </c>
      <c r="AK130" s="33">
        <f t="shared" si="6"/>
        <v>2.390644010509483E-4</v>
      </c>
    </row>
    <row r="131" spans="1:37" x14ac:dyDescent="0.3">
      <c r="A131" t="s">
        <v>53</v>
      </c>
      <c r="B131" s="1">
        <v>2011</v>
      </c>
      <c r="C131" s="1" t="str">
        <f t="shared" si="5"/>
        <v>Indiana, 2011</v>
      </c>
      <c r="D131" s="27">
        <v>89</v>
      </c>
      <c r="E131" s="27">
        <v>58</v>
      </c>
      <c r="F131" s="27">
        <v>48</v>
      </c>
      <c r="G131" s="27">
        <v>55</v>
      </c>
      <c r="H131" s="27">
        <v>46</v>
      </c>
      <c r="I131" s="27">
        <v>62</v>
      </c>
      <c r="J131" s="27">
        <v>61</v>
      </c>
      <c r="K131" s="27">
        <v>104</v>
      </c>
      <c r="L131" s="27">
        <v>250</v>
      </c>
      <c r="M131" s="27">
        <v>458</v>
      </c>
      <c r="N131" s="27">
        <v>44</v>
      </c>
      <c r="O131" s="28">
        <v>1275</v>
      </c>
      <c r="P131" s="29">
        <v>413306.47099999984</v>
      </c>
      <c r="Q131" s="30">
        <v>846461.42600000021</v>
      </c>
      <c r="R131" s="30">
        <v>886543.83699999994</v>
      </c>
      <c r="S131" s="30">
        <v>787609.16899999999</v>
      </c>
      <c r="T131" s="30">
        <v>810141.19299999997</v>
      </c>
      <c r="U131" s="30">
        <v>889140.69299999985</v>
      </c>
      <c r="V131" s="30">
        <v>708336.99899999972</v>
      </c>
      <c r="W131" s="30">
        <v>414972.61700000003</v>
      </c>
      <c r="X131" s="30">
        <v>262619.05499999993</v>
      </c>
      <c r="Y131" s="30">
        <v>104204.204</v>
      </c>
      <c r="Z131" s="31">
        <v>6121443</v>
      </c>
      <c r="AA131" s="32">
        <f t="shared" si="8"/>
        <v>2.1533657526499273E-4</v>
      </c>
      <c r="AB131" s="32">
        <f t="shared" si="8"/>
        <v>6.8520547089880019E-5</v>
      </c>
      <c r="AC131" s="32">
        <f t="shared" si="8"/>
        <v>5.4142838737031343E-5</v>
      </c>
      <c r="AD131" s="32">
        <f t="shared" si="8"/>
        <v>6.9831589276482891E-5</v>
      </c>
      <c r="AE131" s="32">
        <f t="shared" si="8"/>
        <v>5.6780225962414431E-5</v>
      </c>
      <c r="AF131" s="32">
        <f t="shared" ref="AF131:AJ194" si="9">I131/U131</f>
        <v>6.9730246841823496E-5</v>
      </c>
      <c r="AG131" s="32">
        <f t="shared" si="9"/>
        <v>8.6117201397240616E-5</v>
      </c>
      <c r="AH131" s="32">
        <f t="shared" si="9"/>
        <v>2.5061894626169994E-4</v>
      </c>
      <c r="AI131" s="32">
        <f t="shared" si="9"/>
        <v>9.5194920261974163E-4</v>
      </c>
      <c r="AJ131" s="32">
        <f t="shared" si="9"/>
        <v>4.3952161469416337E-3</v>
      </c>
      <c r="AK131" s="33">
        <f t="shared" si="6"/>
        <v>2.0828422318071082E-4</v>
      </c>
    </row>
    <row r="132" spans="1:37" x14ac:dyDescent="0.3">
      <c r="A132" t="s">
        <v>53</v>
      </c>
      <c r="B132" s="1">
        <v>2012</v>
      </c>
      <c r="C132" s="1" t="str">
        <f t="shared" ref="C132:C195" si="10">A132&amp;", "&amp;B132</f>
        <v>Indiana, 2012</v>
      </c>
      <c r="D132" s="27">
        <v>91</v>
      </c>
      <c r="E132" s="27">
        <v>54</v>
      </c>
      <c r="F132" s="27">
        <v>63</v>
      </c>
      <c r="G132" s="27">
        <v>68</v>
      </c>
      <c r="H132" s="27">
        <v>51</v>
      </c>
      <c r="I132" s="27">
        <v>61</v>
      </c>
      <c r="J132" s="27">
        <v>52</v>
      </c>
      <c r="K132" s="27">
        <v>74</v>
      </c>
      <c r="L132" s="27">
        <v>244</v>
      </c>
      <c r="M132" s="27">
        <v>472</v>
      </c>
      <c r="N132" s="27">
        <v>60</v>
      </c>
      <c r="O132" s="28">
        <v>1290</v>
      </c>
      <c r="P132" s="29">
        <v>411333.29300000012</v>
      </c>
      <c r="Q132" s="30">
        <v>850762.79099999985</v>
      </c>
      <c r="R132" s="30">
        <v>895479.73399999971</v>
      </c>
      <c r="S132" s="30">
        <v>795091.0340000001</v>
      </c>
      <c r="T132" s="30">
        <v>805768.80900000024</v>
      </c>
      <c r="U132" s="30">
        <v>892941.63000000012</v>
      </c>
      <c r="V132" s="30">
        <v>735244.31400000025</v>
      </c>
      <c r="W132" s="30">
        <v>434450.22799999977</v>
      </c>
      <c r="X132" s="30">
        <v>264893.59900000005</v>
      </c>
      <c r="Y132" s="30">
        <v>107693.39099999997</v>
      </c>
      <c r="Z132" s="31">
        <v>6195181</v>
      </c>
      <c r="AA132" s="32">
        <f t="shared" ref="AA132:AE195" si="11">D132/P132</f>
        <v>2.2123178830554805E-4</v>
      </c>
      <c r="AB132" s="32">
        <f t="shared" si="11"/>
        <v>6.3472451512045516E-5</v>
      </c>
      <c r="AC132" s="32">
        <f t="shared" si="11"/>
        <v>7.0353350955902288E-5</v>
      </c>
      <c r="AD132" s="32">
        <f t="shared" si="11"/>
        <v>8.5524797906348906E-5</v>
      </c>
      <c r="AE132" s="32">
        <f t="shared" si="11"/>
        <v>6.3293589216109733E-5</v>
      </c>
      <c r="AF132" s="32">
        <f t="shared" si="9"/>
        <v>6.8313535790687677E-5</v>
      </c>
      <c r="AG132" s="32">
        <f t="shared" si="9"/>
        <v>7.0724790399399111E-5</v>
      </c>
      <c r="AH132" s="32">
        <f t="shared" si="9"/>
        <v>1.7033021329200461E-4</v>
      </c>
      <c r="AI132" s="32">
        <f t="shared" si="9"/>
        <v>9.2112456065803221E-4</v>
      </c>
      <c r="AJ132" s="32">
        <f t="shared" si="9"/>
        <v>4.3828130548883926E-3</v>
      </c>
      <c r="AK132" s="33">
        <f t="shared" ref="AK132:AK195" si="12">O132/Z132</f>
        <v>2.0822636174794569E-4</v>
      </c>
    </row>
    <row r="133" spans="1:37" x14ac:dyDescent="0.3">
      <c r="A133" t="s">
        <v>53</v>
      </c>
      <c r="B133" s="1">
        <v>2013</v>
      </c>
      <c r="C133" s="1" t="str">
        <f t="shared" si="10"/>
        <v>Indiana, 2013</v>
      </c>
      <c r="D133" s="27">
        <v>108</v>
      </c>
      <c r="E133" s="27">
        <v>37</v>
      </c>
      <c r="F133" s="27">
        <v>47</v>
      </c>
      <c r="G133" s="27">
        <v>56</v>
      </c>
      <c r="H133" s="27">
        <v>56</v>
      </c>
      <c r="I133" s="27">
        <v>52</v>
      </c>
      <c r="J133" s="27">
        <v>107</v>
      </c>
      <c r="K133" s="27">
        <v>124</v>
      </c>
      <c r="L133" s="27">
        <v>265</v>
      </c>
      <c r="M133" s="27">
        <v>532</v>
      </c>
      <c r="N133" s="27">
        <v>59</v>
      </c>
      <c r="O133" s="28">
        <v>1443</v>
      </c>
      <c r="P133" s="29">
        <v>414634.96200000012</v>
      </c>
      <c r="Q133" s="30">
        <v>865317.32400000002</v>
      </c>
      <c r="R133" s="30">
        <v>905766.31099999952</v>
      </c>
      <c r="S133" s="30">
        <v>809730.30900000001</v>
      </c>
      <c r="T133" s="30">
        <v>807676.25500000012</v>
      </c>
      <c r="U133" s="30">
        <v>897179.08699999982</v>
      </c>
      <c r="V133" s="30">
        <v>766718.53799999983</v>
      </c>
      <c r="W133" s="30">
        <v>453437.8060000001</v>
      </c>
      <c r="X133" s="30">
        <v>264222.75100000011</v>
      </c>
      <c r="Y133" s="30">
        <v>112501.21700000006</v>
      </c>
      <c r="Z133" s="31">
        <v>6294713</v>
      </c>
      <c r="AA133" s="32">
        <f t="shared" si="11"/>
        <v>2.6047007584468953E-4</v>
      </c>
      <c r="AB133" s="32">
        <f t="shared" si="11"/>
        <v>4.2758880440489137E-5</v>
      </c>
      <c r="AC133" s="32">
        <f t="shared" si="11"/>
        <v>5.1889763870893213E-5</v>
      </c>
      <c r="AD133" s="32">
        <f t="shared" si="11"/>
        <v>6.9158829029333021E-5</v>
      </c>
      <c r="AE133" s="32">
        <f t="shared" si="11"/>
        <v>6.9334711344213023E-5</v>
      </c>
      <c r="AF133" s="32">
        <f t="shared" si="9"/>
        <v>5.7959442828608877E-5</v>
      </c>
      <c r="AG133" s="32">
        <f t="shared" si="9"/>
        <v>1.3955577529025393E-4</v>
      </c>
      <c r="AH133" s="32">
        <f t="shared" si="9"/>
        <v>2.7346639022860826E-4</v>
      </c>
      <c r="AI133" s="32">
        <f t="shared" si="9"/>
        <v>1.0029416429775946E-3</v>
      </c>
      <c r="AJ133" s="32">
        <f t="shared" si="9"/>
        <v>4.7288377333731396E-3</v>
      </c>
      <c r="AK133" s="33">
        <f t="shared" si="12"/>
        <v>2.2923999871002855E-4</v>
      </c>
    </row>
    <row r="134" spans="1:37" x14ac:dyDescent="0.3">
      <c r="A134" t="s">
        <v>53</v>
      </c>
      <c r="B134" s="1">
        <v>2014</v>
      </c>
      <c r="C134" s="1" t="str">
        <f t="shared" si="10"/>
        <v>Indiana, 2014</v>
      </c>
      <c r="D134" s="27">
        <v>110</v>
      </c>
      <c r="E134" s="27">
        <v>58</v>
      </c>
      <c r="F134" s="27">
        <v>65</v>
      </c>
      <c r="G134" s="27">
        <v>53</v>
      </c>
      <c r="H134" s="27">
        <v>56</v>
      </c>
      <c r="I134" s="27">
        <v>69</v>
      </c>
      <c r="J134" s="27">
        <v>99</v>
      </c>
      <c r="K134" s="27">
        <v>123</v>
      </c>
      <c r="L134" s="27">
        <v>250</v>
      </c>
      <c r="M134" s="27">
        <v>455</v>
      </c>
      <c r="N134" s="27">
        <v>60</v>
      </c>
      <c r="O134" s="28">
        <v>1398</v>
      </c>
      <c r="P134" s="29">
        <v>405924.24800000025</v>
      </c>
      <c r="Q134" s="30">
        <v>853170.99900000007</v>
      </c>
      <c r="R134" s="30">
        <v>895778.14200000011</v>
      </c>
      <c r="S134" s="30">
        <v>799017.97</v>
      </c>
      <c r="T134" s="30">
        <v>790582.8629999999</v>
      </c>
      <c r="U134" s="30">
        <v>870976.51199999999</v>
      </c>
      <c r="V134" s="30">
        <v>769389.86199999996</v>
      </c>
      <c r="W134" s="30">
        <v>465104.09699999983</v>
      </c>
      <c r="X134" s="30">
        <v>261879.47700000004</v>
      </c>
      <c r="Y134" s="30">
        <v>115381.23600000002</v>
      </c>
      <c r="Z134" s="31">
        <v>6228132</v>
      </c>
      <c r="AA134" s="32">
        <f t="shared" si="11"/>
        <v>2.7098652160340996E-4</v>
      </c>
      <c r="AB134" s="32">
        <f t="shared" si="11"/>
        <v>6.798168253255406E-5</v>
      </c>
      <c r="AC134" s="32">
        <f t="shared" si="11"/>
        <v>7.2562610039663141E-5</v>
      </c>
      <c r="AD134" s="32">
        <f t="shared" si="11"/>
        <v>6.6331424310769882E-5</v>
      </c>
      <c r="AE134" s="32">
        <f t="shared" si="11"/>
        <v>7.0833814671239598E-5</v>
      </c>
      <c r="AF134" s="32">
        <f t="shared" si="9"/>
        <v>7.9221424515291632E-5</v>
      </c>
      <c r="AG134" s="32">
        <f t="shared" si="9"/>
        <v>1.2867338769275335E-4</v>
      </c>
      <c r="AH134" s="32">
        <f t="shared" si="9"/>
        <v>2.6445692651036793E-4</v>
      </c>
      <c r="AI134" s="32">
        <f t="shared" si="9"/>
        <v>9.546376175174657E-4</v>
      </c>
      <c r="AJ134" s="32">
        <f t="shared" si="9"/>
        <v>3.9434488290626384E-3</v>
      </c>
      <c r="AK134" s="33">
        <f t="shared" si="12"/>
        <v>2.2446537741974642E-4</v>
      </c>
    </row>
    <row r="135" spans="1:37" x14ac:dyDescent="0.3">
      <c r="A135" t="s">
        <v>53</v>
      </c>
      <c r="B135" s="1">
        <v>2015</v>
      </c>
      <c r="C135" s="1" t="str">
        <f t="shared" si="10"/>
        <v>Indiana, 2015</v>
      </c>
      <c r="D135" s="27">
        <v>114</v>
      </c>
      <c r="E135" s="27">
        <v>42</v>
      </c>
      <c r="F135" s="27">
        <v>38</v>
      </c>
      <c r="G135" s="27">
        <v>43</v>
      </c>
      <c r="H135" s="27">
        <v>49</v>
      </c>
      <c r="I135" s="27">
        <v>50</v>
      </c>
      <c r="J135" s="27">
        <v>49</v>
      </c>
      <c r="K135" s="27">
        <v>138</v>
      </c>
      <c r="L135" s="27">
        <v>273</v>
      </c>
      <c r="M135" s="27">
        <v>480</v>
      </c>
      <c r="N135" s="27">
        <v>48</v>
      </c>
      <c r="O135" s="28">
        <v>1324</v>
      </c>
      <c r="P135" s="29">
        <v>390031.05800000008</v>
      </c>
      <c r="Q135" s="30">
        <v>823212.70299999986</v>
      </c>
      <c r="R135" s="30">
        <v>873766.22900000063</v>
      </c>
      <c r="S135" s="30">
        <v>785996.86499999953</v>
      </c>
      <c r="T135" s="30">
        <v>763822.04599999997</v>
      </c>
      <c r="U135" s="30">
        <v>832391.09299999988</v>
      </c>
      <c r="V135" s="30">
        <v>762698.75500000012</v>
      </c>
      <c r="W135" s="30">
        <v>470174.91599999991</v>
      </c>
      <c r="X135" s="30">
        <v>253038.94600000003</v>
      </c>
      <c r="Y135" s="30">
        <v>111048.84599999998</v>
      </c>
      <c r="Z135" s="31">
        <v>6065024</v>
      </c>
      <c r="AA135" s="32">
        <f t="shared" si="11"/>
        <v>2.9228441597591948E-4</v>
      </c>
      <c r="AB135" s="32">
        <f t="shared" si="11"/>
        <v>5.1019620867050697E-5</v>
      </c>
      <c r="AC135" s="32">
        <f t="shared" si="11"/>
        <v>4.3489893221771534E-5</v>
      </c>
      <c r="AD135" s="32">
        <f t="shared" si="11"/>
        <v>5.4707597338826572E-5</v>
      </c>
      <c r="AE135" s="32">
        <f t="shared" si="11"/>
        <v>6.4151067983183091E-5</v>
      </c>
      <c r="AF135" s="32">
        <f t="shared" si="9"/>
        <v>6.0067918098205803E-5</v>
      </c>
      <c r="AG135" s="32">
        <f t="shared" si="9"/>
        <v>6.4245548689796918E-5</v>
      </c>
      <c r="AH135" s="32">
        <f t="shared" si="9"/>
        <v>2.9350778891828425E-4</v>
      </c>
      <c r="AI135" s="32">
        <f t="shared" si="9"/>
        <v>1.078885303292403E-3</v>
      </c>
      <c r="AJ135" s="32">
        <f t="shared" si="9"/>
        <v>4.3224222249009245E-3</v>
      </c>
      <c r="AK135" s="33">
        <f t="shared" si="12"/>
        <v>2.1830086739970032E-4</v>
      </c>
    </row>
    <row r="136" spans="1:37" x14ac:dyDescent="0.3">
      <c r="A136" t="s">
        <v>53</v>
      </c>
      <c r="B136" s="1">
        <v>2016</v>
      </c>
      <c r="C136" s="1" t="str">
        <f t="shared" si="10"/>
        <v>Indiana, 2016</v>
      </c>
      <c r="D136" s="27">
        <v>134</v>
      </c>
      <c r="E136" s="27">
        <v>52</v>
      </c>
      <c r="F136" s="27">
        <v>41</v>
      </c>
      <c r="G136" s="27">
        <v>59</v>
      </c>
      <c r="H136" s="27">
        <v>58</v>
      </c>
      <c r="I136" s="27">
        <v>76</v>
      </c>
      <c r="J136" s="27">
        <v>92</v>
      </c>
      <c r="K136" s="27">
        <v>147</v>
      </c>
      <c r="L136" s="27">
        <v>229</v>
      </c>
      <c r="M136" s="27">
        <v>387</v>
      </c>
      <c r="N136" s="27">
        <v>53</v>
      </c>
      <c r="O136" s="28">
        <v>1328</v>
      </c>
      <c r="P136" s="29">
        <v>398081.31499999994</v>
      </c>
      <c r="Q136" s="30">
        <v>840255.18300000008</v>
      </c>
      <c r="R136" s="30">
        <v>890527.01600000029</v>
      </c>
      <c r="S136" s="30">
        <v>799304.43400000036</v>
      </c>
      <c r="T136" s="30">
        <v>772830.03800000029</v>
      </c>
      <c r="U136" s="30">
        <v>834052.56499999983</v>
      </c>
      <c r="V136" s="30">
        <v>788045.68799999973</v>
      </c>
      <c r="W136" s="30">
        <v>502332.26800000004</v>
      </c>
      <c r="X136" s="30">
        <v>263348.85200000013</v>
      </c>
      <c r="Y136" s="30">
        <v>116886.40399999999</v>
      </c>
      <c r="Z136" s="31">
        <v>6205644</v>
      </c>
      <c r="AA136" s="32">
        <f t="shared" si="11"/>
        <v>3.3661464366897007E-4</v>
      </c>
      <c r="AB136" s="32">
        <f t="shared" si="11"/>
        <v>6.1885961612687842E-5</v>
      </c>
      <c r="AC136" s="32">
        <f t="shared" si="11"/>
        <v>4.6040152924456572E-5</v>
      </c>
      <c r="AD136" s="32">
        <f t="shared" si="11"/>
        <v>7.3814178290921342E-5</v>
      </c>
      <c r="AE136" s="32">
        <f t="shared" si="11"/>
        <v>7.5048842757325613E-5</v>
      </c>
      <c r="AF136" s="32">
        <f t="shared" si="9"/>
        <v>9.1121355163028623E-5</v>
      </c>
      <c r="AG136" s="32">
        <f t="shared" si="9"/>
        <v>1.1674450022496669E-4</v>
      </c>
      <c r="AH136" s="32">
        <f t="shared" si="9"/>
        <v>2.9263499353778324E-4</v>
      </c>
      <c r="AI136" s="32">
        <f t="shared" si="9"/>
        <v>8.6956900803197683E-4</v>
      </c>
      <c r="AJ136" s="32">
        <f t="shared" si="9"/>
        <v>3.3109068869977385E-3</v>
      </c>
      <c r="AK136" s="33">
        <f t="shared" si="12"/>
        <v>2.1399874050138874E-4</v>
      </c>
    </row>
    <row r="137" spans="1:37" x14ac:dyDescent="0.3">
      <c r="A137" t="s">
        <v>53</v>
      </c>
      <c r="B137" s="1">
        <v>2017</v>
      </c>
      <c r="C137" s="1" t="str">
        <f t="shared" si="10"/>
        <v>Indiana, 2017</v>
      </c>
      <c r="D137" s="27">
        <v>137</v>
      </c>
      <c r="E137" s="27">
        <v>82</v>
      </c>
      <c r="F137" s="27">
        <v>58</v>
      </c>
      <c r="G137" s="27">
        <v>33</v>
      </c>
      <c r="H137" s="27">
        <v>48</v>
      </c>
      <c r="I137" s="27">
        <v>65</v>
      </c>
      <c r="J137" s="27">
        <v>95</v>
      </c>
      <c r="K137" s="27">
        <v>170</v>
      </c>
      <c r="L137" s="27">
        <v>276</v>
      </c>
      <c r="M137" s="27">
        <v>456</v>
      </c>
      <c r="N137" s="27">
        <v>64</v>
      </c>
      <c r="O137" s="28">
        <v>1484</v>
      </c>
      <c r="P137" s="29">
        <v>404168</v>
      </c>
      <c r="Q137" s="30">
        <v>854411</v>
      </c>
      <c r="R137" s="30">
        <v>921399</v>
      </c>
      <c r="S137" s="30">
        <v>827731</v>
      </c>
      <c r="T137" s="30">
        <v>795704</v>
      </c>
      <c r="U137" s="30">
        <v>846252</v>
      </c>
      <c r="V137" s="30">
        <v>826072</v>
      </c>
      <c r="W137" s="30">
        <v>543961</v>
      </c>
      <c r="X137" s="30">
        <v>277051</v>
      </c>
      <c r="Y137" s="30">
        <v>124010</v>
      </c>
      <c r="Z137" s="31">
        <v>6420759</v>
      </c>
      <c r="AA137" s="32">
        <f t="shared" si="11"/>
        <v>3.3896795392015204E-4</v>
      </c>
      <c r="AB137" s="32">
        <f t="shared" si="11"/>
        <v>9.597254716992174E-5</v>
      </c>
      <c r="AC137" s="32">
        <f t="shared" si="11"/>
        <v>6.2947756617925572E-5</v>
      </c>
      <c r="AD137" s="32">
        <f t="shared" si="11"/>
        <v>3.9868024756835252E-5</v>
      </c>
      <c r="AE137" s="32">
        <f t="shared" si="11"/>
        <v>6.0323939555412568E-5</v>
      </c>
      <c r="AF137" s="32">
        <f t="shared" si="9"/>
        <v>7.6809271942636476E-5</v>
      </c>
      <c r="AG137" s="32">
        <f t="shared" si="9"/>
        <v>1.150020821429609E-4</v>
      </c>
      <c r="AH137" s="32">
        <f t="shared" si="9"/>
        <v>3.1252240509889494E-4</v>
      </c>
      <c r="AI137" s="32">
        <f t="shared" si="9"/>
        <v>9.9620647462019636E-4</v>
      </c>
      <c r="AJ137" s="32">
        <f t="shared" si="9"/>
        <v>3.6771228126763972E-3</v>
      </c>
      <c r="AK137" s="33">
        <f t="shared" si="12"/>
        <v>2.3112532334572906E-4</v>
      </c>
    </row>
    <row r="138" spans="1:37" x14ac:dyDescent="0.3">
      <c r="A138" t="s">
        <v>54</v>
      </c>
      <c r="B138" s="1">
        <v>2009</v>
      </c>
      <c r="C138" s="1" t="str">
        <f t="shared" si="10"/>
        <v>Iowa, 2009</v>
      </c>
      <c r="D138" s="27">
        <v>118</v>
      </c>
      <c r="E138" s="27">
        <v>55</v>
      </c>
      <c r="F138" s="27">
        <v>42</v>
      </c>
      <c r="G138" s="27">
        <v>72</v>
      </c>
      <c r="H138" s="27">
        <v>28</v>
      </c>
      <c r="I138" s="27">
        <v>67</v>
      </c>
      <c r="J138" s="27">
        <v>36</v>
      </c>
      <c r="K138" s="27">
        <v>70</v>
      </c>
      <c r="L138" s="27">
        <v>159</v>
      </c>
      <c r="M138" s="27">
        <v>342</v>
      </c>
      <c r="N138" s="27">
        <v>50</v>
      </c>
      <c r="O138" s="28">
        <v>1039</v>
      </c>
      <c r="P138" s="29">
        <v>194872.17199999999</v>
      </c>
      <c r="Q138" s="30">
        <v>381483.93799999991</v>
      </c>
      <c r="R138" s="30">
        <v>440273.24699999992</v>
      </c>
      <c r="S138" s="30">
        <v>351004.32199999993</v>
      </c>
      <c r="T138" s="30">
        <v>380666.61199999991</v>
      </c>
      <c r="U138" s="30">
        <v>432370.63299999991</v>
      </c>
      <c r="V138" s="30">
        <v>326577.6069999999</v>
      </c>
      <c r="W138" s="30">
        <v>206739.25599999999</v>
      </c>
      <c r="X138" s="30">
        <v>154806.75000000003</v>
      </c>
      <c r="Y138" s="30">
        <v>69911.267999999996</v>
      </c>
      <c r="Z138" s="31">
        <v>2939403</v>
      </c>
      <c r="AA138" s="32">
        <f t="shared" si="11"/>
        <v>6.0552514393897151E-4</v>
      </c>
      <c r="AB138" s="32">
        <f t="shared" si="11"/>
        <v>1.4417382888608015E-4</v>
      </c>
      <c r="AC138" s="32">
        <f t="shared" si="11"/>
        <v>9.5395303453448327E-5</v>
      </c>
      <c r="AD138" s="32">
        <f t="shared" si="11"/>
        <v>2.0512567933565222E-4</v>
      </c>
      <c r="AE138" s="32">
        <f t="shared" si="11"/>
        <v>7.3555176937871306E-5</v>
      </c>
      <c r="AF138" s="32">
        <f t="shared" si="9"/>
        <v>1.5495964546694829E-4</v>
      </c>
      <c r="AG138" s="32">
        <f t="shared" si="9"/>
        <v>1.1023413494483721E-4</v>
      </c>
      <c r="AH138" s="32">
        <f t="shared" si="9"/>
        <v>3.3859075124078035E-4</v>
      </c>
      <c r="AI138" s="32">
        <f t="shared" si="9"/>
        <v>1.0270869971755105E-3</v>
      </c>
      <c r="AJ138" s="32">
        <f t="shared" si="9"/>
        <v>4.8919152775200704E-3</v>
      </c>
      <c r="AK138" s="33">
        <f t="shared" si="12"/>
        <v>3.5347313723228834E-4</v>
      </c>
    </row>
    <row r="139" spans="1:37" x14ac:dyDescent="0.3">
      <c r="A139" t="s">
        <v>54</v>
      </c>
      <c r="B139" s="1">
        <v>2010</v>
      </c>
      <c r="C139" s="1" t="str">
        <f t="shared" si="10"/>
        <v>Iowa, 2010</v>
      </c>
      <c r="D139" s="27">
        <v>104</v>
      </c>
      <c r="E139" s="27">
        <v>63</v>
      </c>
      <c r="F139" s="27">
        <v>64</v>
      </c>
      <c r="G139" s="27">
        <v>61</v>
      </c>
      <c r="H139" s="27">
        <v>63</v>
      </c>
      <c r="I139" s="27">
        <v>58</v>
      </c>
      <c r="J139" s="27">
        <v>51</v>
      </c>
      <c r="K139" s="27">
        <v>50</v>
      </c>
      <c r="L139" s="27">
        <v>129</v>
      </c>
      <c r="M139" s="27">
        <v>319</v>
      </c>
      <c r="N139" s="27">
        <v>58</v>
      </c>
      <c r="O139" s="28">
        <v>1020</v>
      </c>
      <c r="P139" s="29">
        <v>190158.76200000002</v>
      </c>
      <c r="Q139" s="30">
        <v>382525.68400000001</v>
      </c>
      <c r="R139" s="30">
        <v>420606.62</v>
      </c>
      <c r="S139" s="30">
        <v>356051.23900000006</v>
      </c>
      <c r="T139" s="30">
        <v>364248.04699999979</v>
      </c>
      <c r="U139" s="30">
        <v>422188.36800000002</v>
      </c>
      <c r="V139" s="30">
        <v>335931.12100000004</v>
      </c>
      <c r="W139" s="30">
        <v>208612.12900000002</v>
      </c>
      <c r="X139" s="30">
        <v>150347.35699999999</v>
      </c>
      <c r="Y139" s="30">
        <v>67631.294999999998</v>
      </c>
      <c r="Z139" s="31">
        <v>2898151</v>
      </c>
      <c r="AA139" s="32">
        <f t="shared" si="11"/>
        <v>5.4691142762067408E-4</v>
      </c>
      <c r="AB139" s="32">
        <f t="shared" si="11"/>
        <v>1.6469482347229787E-4</v>
      </c>
      <c r="AC139" s="32">
        <f t="shared" si="11"/>
        <v>1.5216118091531704E-4</v>
      </c>
      <c r="AD139" s="32">
        <f t="shared" si="11"/>
        <v>1.7132365603142864E-4</v>
      </c>
      <c r="AE139" s="32">
        <f t="shared" si="11"/>
        <v>1.7295906050527167E-4</v>
      </c>
      <c r="AF139" s="32">
        <f t="shared" si="9"/>
        <v>1.3737943628044246E-4</v>
      </c>
      <c r="AG139" s="32">
        <f t="shared" si="9"/>
        <v>1.5181683628531694E-4</v>
      </c>
      <c r="AH139" s="32">
        <f t="shared" si="9"/>
        <v>2.3967925661695346E-4</v>
      </c>
      <c r="AI139" s="32">
        <f t="shared" si="9"/>
        <v>8.5801308765274804E-4</v>
      </c>
      <c r="AJ139" s="32">
        <f t="shared" si="9"/>
        <v>4.7167513205240265E-3</v>
      </c>
      <c r="AK139" s="33">
        <f t="shared" si="12"/>
        <v>3.5194853546278299E-4</v>
      </c>
    </row>
    <row r="140" spans="1:37" x14ac:dyDescent="0.3">
      <c r="A140" t="s">
        <v>54</v>
      </c>
      <c r="B140" s="1">
        <v>2011</v>
      </c>
      <c r="C140" s="1" t="str">
        <f t="shared" si="10"/>
        <v>Iowa, 2011</v>
      </c>
      <c r="D140" s="27">
        <v>119</v>
      </c>
      <c r="E140" s="27">
        <v>49</v>
      </c>
      <c r="F140" s="27">
        <v>50</v>
      </c>
      <c r="G140" s="27">
        <v>60</v>
      </c>
      <c r="H140" s="27">
        <v>42</v>
      </c>
      <c r="I140" s="27">
        <v>57</v>
      </c>
      <c r="J140" s="27">
        <v>53</v>
      </c>
      <c r="K140" s="27">
        <v>57</v>
      </c>
      <c r="L140" s="27">
        <v>131</v>
      </c>
      <c r="M140" s="27">
        <v>388</v>
      </c>
      <c r="N140" s="27">
        <v>58</v>
      </c>
      <c r="O140" s="28">
        <v>1064</v>
      </c>
      <c r="P140" s="29">
        <v>187077.99599999996</v>
      </c>
      <c r="Q140" s="30">
        <v>374078.03599999996</v>
      </c>
      <c r="R140" s="30">
        <v>409517.88499999989</v>
      </c>
      <c r="S140" s="30">
        <v>356736.33</v>
      </c>
      <c r="T140" s="30">
        <v>349719.56900000013</v>
      </c>
      <c r="U140" s="30">
        <v>408641.43599999999</v>
      </c>
      <c r="V140" s="30">
        <v>337761.55499999993</v>
      </c>
      <c r="W140" s="30">
        <v>205657.97199999995</v>
      </c>
      <c r="X140" s="30">
        <v>143994.24099999998</v>
      </c>
      <c r="Y140" s="30">
        <v>65660.613000000012</v>
      </c>
      <c r="Z140" s="31">
        <v>2839460</v>
      </c>
      <c r="AA140" s="32">
        <f t="shared" si="11"/>
        <v>6.3609832553476807E-4</v>
      </c>
      <c r="AB140" s="32">
        <f t="shared" si="11"/>
        <v>1.3098871167084507E-4</v>
      </c>
      <c r="AC140" s="32">
        <f t="shared" si="11"/>
        <v>1.2209478958409841E-4</v>
      </c>
      <c r="AD140" s="32">
        <f t="shared" si="11"/>
        <v>1.6819144828899259E-4</v>
      </c>
      <c r="AE140" s="32">
        <f t="shared" si="11"/>
        <v>1.2009622486981843E-4</v>
      </c>
      <c r="AF140" s="32">
        <f t="shared" si="9"/>
        <v>1.3948658892242146E-4</v>
      </c>
      <c r="AG140" s="32">
        <f t="shared" si="9"/>
        <v>1.569154310649713E-4</v>
      </c>
      <c r="AH140" s="32">
        <f t="shared" si="9"/>
        <v>2.7715920489578694E-4</v>
      </c>
      <c r="AI140" s="32">
        <f t="shared" si="9"/>
        <v>9.0975860624870422E-4</v>
      </c>
      <c r="AJ140" s="32">
        <f t="shared" si="9"/>
        <v>5.9091741954952499E-3</v>
      </c>
      <c r="AK140" s="33">
        <f t="shared" si="12"/>
        <v>3.7471913673726694E-4</v>
      </c>
    </row>
    <row r="141" spans="1:37" x14ac:dyDescent="0.3">
      <c r="A141" t="s">
        <v>54</v>
      </c>
      <c r="B141" s="1">
        <v>2012</v>
      </c>
      <c r="C141" s="1" t="str">
        <f t="shared" si="10"/>
        <v>Iowa, 2012</v>
      </c>
      <c r="D141" s="27">
        <v>141</v>
      </c>
      <c r="E141" s="27">
        <v>64</v>
      </c>
      <c r="F141" s="27">
        <v>48</v>
      </c>
      <c r="G141" s="27">
        <v>45</v>
      </c>
      <c r="H141" s="27">
        <v>48</v>
      </c>
      <c r="I141" s="27">
        <v>64</v>
      </c>
      <c r="J141" s="27">
        <v>67</v>
      </c>
      <c r="K141" s="27">
        <v>62</v>
      </c>
      <c r="L141" s="27">
        <v>111</v>
      </c>
      <c r="M141" s="27">
        <v>411</v>
      </c>
      <c r="N141" s="27">
        <v>63</v>
      </c>
      <c r="O141" s="28">
        <v>1124</v>
      </c>
      <c r="P141" s="29">
        <v>194346.21599999993</v>
      </c>
      <c r="Q141" s="30">
        <v>391919.38599999988</v>
      </c>
      <c r="R141" s="30">
        <v>423059.23799999972</v>
      </c>
      <c r="S141" s="30">
        <v>372705.93699999992</v>
      </c>
      <c r="T141" s="30">
        <v>356668.44299999991</v>
      </c>
      <c r="U141" s="30">
        <v>420735.14900000009</v>
      </c>
      <c r="V141" s="30">
        <v>361688.03100000013</v>
      </c>
      <c r="W141" s="30">
        <v>219662.47900000005</v>
      </c>
      <c r="X141" s="30">
        <v>148148.478</v>
      </c>
      <c r="Y141" s="30">
        <v>69713.541999999987</v>
      </c>
      <c r="Z141" s="31">
        <v>2959857</v>
      </c>
      <c r="AA141" s="32">
        <f t="shared" si="11"/>
        <v>7.2550936623330014E-4</v>
      </c>
      <c r="AB141" s="32">
        <f t="shared" si="11"/>
        <v>1.6329888820554547E-4</v>
      </c>
      <c r="AC141" s="32">
        <f t="shared" si="11"/>
        <v>1.1345928817656508E-4</v>
      </c>
      <c r="AD141" s="32">
        <f t="shared" si="11"/>
        <v>1.2073861866064132E-4</v>
      </c>
      <c r="AE141" s="32">
        <f t="shared" si="11"/>
        <v>1.3457876899975705E-4</v>
      </c>
      <c r="AF141" s="32">
        <f t="shared" si="9"/>
        <v>1.5211469769548536E-4</v>
      </c>
      <c r="AG141" s="32">
        <f t="shared" si="9"/>
        <v>1.8524251359592261E-4</v>
      </c>
      <c r="AH141" s="32">
        <f t="shared" si="9"/>
        <v>2.8225120777226588E-4</v>
      </c>
      <c r="AI141" s="32">
        <f t="shared" si="9"/>
        <v>7.4924833179858925E-4</v>
      </c>
      <c r="AJ141" s="32">
        <f t="shared" si="9"/>
        <v>5.8955546972494968E-3</v>
      </c>
      <c r="AK141" s="33">
        <f t="shared" si="12"/>
        <v>3.7974807566716905E-4</v>
      </c>
    </row>
    <row r="142" spans="1:37" x14ac:dyDescent="0.3">
      <c r="A142" t="s">
        <v>54</v>
      </c>
      <c r="B142" s="1">
        <v>2013</v>
      </c>
      <c r="C142" s="1" t="str">
        <f t="shared" si="10"/>
        <v>Iowa, 2013</v>
      </c>
      <c r="D142" s="27">
        <v>100</v>
      </c>
      <c r="E142" s="27">
        <v>48</v>
      </c>
      <c r="F142" s="27">
        <v>52</v>
      </c>
      <c r="G142" s="27">
        <v>48</v>
      </c>
      <c r="H142" s="27">
        <v>70</v>
      </c>
      <c r="I142" s="27">
        <v>59</v>
      </c>
      <c r="J142" s="27">
        <v>55</v>
      </c>
      <c r="K142" s="27">
        <v>70</v>
      </c>
      <c r="L142" s="27">
        <v>163</v>
      </c>
      <c r="M142" s="27">
        <v>452</v>
      </c>
      <c r="N142" s="27">
        <v>41</v>
      </c>
      <c r="O142" s="28">
        <v>1158</v>
      </c>
      <c r="P142" s="29">
        <v>185510.64599999998</v>
      </c>
      <c r="Q142" s="30">
        <v>377470.19</v>
      </c>
      <c r="R142" s="30">
        <v>412544.51299999998</v>
      </c>
      <c r="S142" s="30">
        <v>366026.98599999986</v>
      </c>
      <c r="T142" s="30">
        <v>342184.73800000007</v>
      </c>
      <c r="U142" s="30">
        <v>400746.07299999997</v>
      </c>
      <c r="V142" s="30">
        <v>360010.70400000003</v>
      </c>
      <c r="W142" s="30">
        <v>215191.82700000005</v>
      </c>
      <c r="X142" s="30">
        <v>140219.861</v>
      </c>
      <c r="Y142" s="30">
        <v>67837.777999999991</v>
      </c>
      <c r="Z142" s="31">
        <v>2868621</v>
      </c>
      <c r="AA142" s="32">
        <f t="shared" si="11"/>
        <v>5.3905262127112649E-4</v>
      </c>
      <c r="AB142" s="32">
        <f t="shared" si="11"/>
        <v>1.2716235949652077E-4</v>
      </c>
      <c r="AC142" s="32">
        <f t="shared" si="11"/>
        <v>1.2604700429017705E-4</v>
      </c>
      <c r="AD142" s="32">
        <f t="shared" si="11"/>
        <v>1.3113787189450565E-4</v>
      </c>
      <c r="AE142" s="32">
        <f t="shared" si="11"/>
        <v>2.0456786123523716E-4</v>
      </c>
      <c r="AF142" s="32">
        <f t="shared" si="9"/>
        <v>1.4722539776453405E-4</v>
      </c>
      <c r="AG142" s="32">
        <f t="shared" si="9"/>
        <v>1.5277323532024759E-4</v>
      </c>
      <c r="AH142" s="32">
        <f t="shared" si="9"/>
        <v>3.2529116451992379E-4</v>
      </c>
      <c r="AI142" s="32">
        <f t="shared" si="9"/>
        <v>1.1624601453570119E-3</v>
      </c>
      <c r="AJ142" s="32">
        <f t="shared" si="9"/>
        <v>6.6629540843746397E-3</v>
      </c>
      <c r="AK142" s="33">
        <f t="shared" si="12"/>
        <v>4.0367828304959074E-4</v>
      </c>
    </row>
    <row r="143" spans="1:37" x14ac:dyDescent="0.3">
      <c r="A143" t="s">
        <v>54</v>
      </c>
      <c r="B143" s="1">
        <v>2014</v>
      </c>
      <c r="C143" s="1" t="str">
        <f t="shared" si="10"/>
        <v>Iowa, 2014</v>
      </c>
      <c r="D143" s="27">
        <v>111</v>
      </c>
      <c r="E143" s="27">
        <v>56</v>
      </c>
      <c r="F143" s="27">
        <v>52</v>
      </c>
      <c r="G143" s="27">
        <v>61</v>
      </c>
      <c r="H143" s="27">
        <v>55</v>
      </c>
      <c r="I143" s="27">
        <v>57</v>
      </c>
      <c r="J143" s="27">
        <v>54</v>
      </c>
      <c r="K143" s="27">
        <v>29</v>
      </c>
      <c r="L143" s="27">
        <v>121</v>
      </c>
      <c r="M143" s="27">
        <v>333</v>
      </c>
      <c r="N143" s="27">
        <v>48</v>
      </c>
      <c r="O143" s="28">
        <v>977</v>
      </c>
      <c r="P143" s="29">
        <v>172706.739</v>
      </c>
      <c r="Q143" s="30">
        <v>355856.00099999993</v>
      </c>
      <c r="R143" s="30">
        <v>391922.58800000005</v>
      </c>
      <c r="S143" s="30">
        <v>347510.93899999995</v>
      </c>
      <c r="T143" s="30">
        <v>322505.59299999999</v>
      </c>
      <c r="U143" s="30">
        <v>372315.42300000018</v>
      </c>
      <c r="V143" s="30">
        <v>345661.84700000001</v>
      </c>
      <c r="W143" s="30">
        <v>210110.1</v>
      </c>
      <c r="X143" s="30">
        <v>131953.024</v>
      </c>
      <c r="Y143" s="30">
        <v>63444.303999999996</v>
      </c>
      <c r="Z143" s="31">
        <v>2714239</v>
      </c>
      <c r="AA143" s="32">
        <f t="shared" si="11"/>
        <v>6.4270798373420733E-4</v>
      </c>
      <c r="AB143" s="32">
        <f t="shared" si="11"/>
        <v>1.5736702442176889E-4</v>
      </c>
      <c r="AC143" s="32">
        <f t="shared" si="11"/>
        <v>1.3267926267112728E-4</v>
      </c>
      <c r="AD143" s="32">
        <f t="shared" si="11"/>
        <v>1.7553404268520021E-4</v>
      </c>
      <c r="AE143" s="32">
        <f t="shared" si="11"/>
        <v>1.7053967805141291E-4</v>
      </c>
      <c r="AF143" s="32">
        <f t="shared" si="9"/>
        <v>1.5309599462926351E-4</v>
      </c>
      <c r="AG143" s="32">
        <f t="shared" si="9"/>
        <v>1.5622204321554759E-4</v>
      </c>
      <c r="AH143" s="32">
        <f t="shared" si="9"/>
        <v>1.3802287467380196E-4</v>
      </c>
      <c r="AI143" s="32">
        <f t="shared" si="9"/>
        <v>9.1699300502578855E-4</v>
      </c>
      <c r="AJ143" s="32">
        <f t="shared" si="9"/>
        <v>5.2486981337205628E-3</v>
      </c>
      <c r="AK143" s="33">
        <f t="shared" si="12"/>
        <v>3.5995356341132816E-4</v>
      </c>
    </row>
    <row r="144" spans="1:37" x14ac:dyDescent="0.3">
      <c r="A144" t="s">
        <v>54</v>
      </c>
      <c r="B144" s="1">
        <v>2015</v>
      </c>
      <c r="C144" s="1" t="str">
        <f t="shared" si="10"/>
        <v>Iowa, 2015</v>
      </c>
      <c r="D144" s="27">
        <v>104</v>
      </c>
      <c r="E144" s="27">
        <v>52</v>
      </c>
      <c r="F144" s="27">
        <v>57</v>
      </c>
      <c r="G144" s="27">
        <v>68</v>
      </c>
      <c r="H144" s="27">
        <v>60</v>
      </c>
      <c r="I144" s="27">
        <v>67</v>
      </c>
      <c r="J144" s="27">
        <v>54</v>
      </c>
      <c r="K144" s="27">
        <v>57</v>
      </c>
      <c r="L144" s="27">
        <v>126</v>
      </c>
      <c r="M144" s="27">
        <v>353</v>
      </c>
      <c r="N144" s="27">
        <v>53</v>
      </c>
      <c r="O144" s="28">
        <v>1051</v>
      </c>
      <c r="P144" s="29">
        <v>181459.3629999999</v>
      </c>
      <c r="Q144" s="30">
        <v>374778.29600000003</v>
      </c>
      <c r="R144" s="30">
        <v>413026.57199999999</v>
      </c>
      <c r="S144" s="30">
        <v>365381.49999999994</v>
      </c>
      <c r="T144" s="30">
        <v>335703.39299999998</v>
      </c>
      <c r="U144" s="30">
        <v>381615.10399999999</v>
      </c>
      <c r="V144" s="30">
        <v>367592.53799999994</v>
      </c>
      <c r="W144" s="30">
        <v>229427.99100000007</v>
      </c>
      <c r="X144" s="30">
        <v>139694.91499999998</v>
      </c>
      <c r="Y144" s="30">
        <v>68220.203999999998</v>
      </c>
      <c r="Z144" s="31">
        <v>2857370</v>
      </c>
      <c r="AA144" s="32">
        <f t="shared" si="11"/>
        <v>5.7313107618480982E-4</v>
      </c>
      <c r="AB144" s="32">
        <f t="shared" si="11"/>
        <v>1.3874869637595021E-4</v>
      </c>
      <c r="AC144" s="32">
        <f t="shared" si="11"/>
        <v>1.3800564870194358E-4</v>
      </c>
      <c r="AD144" s="32">
        <f t="shared" si="11"/>
        <v>1.8610684996366814E-4</v>
      </c>
      <c r="AE144" s="32">
        <f t="shared" si="11"/>
        <v>1.7872920337150123E-4</v>
      </c>
      <c r="AF144" s="32">
        <f t="shared" si="9"/>
        <v>1.7556957074738846E-4</v>
      </c>
      <c r="AG144" s="32">
        <f t="shared" si="9"/>
        <v>1.4690178504113164E-4</v>
      </c>
      <c r="AH144" s="32">
        <f t="shared" si="9"/>
        <v>2.484439660198218E-4</v>
      </c>
      <c r="AI144" s="32">
        <f t="shared" si="9"/>
        <v>9.0196554398562056E-4</v>
      </c>
      <c r="AJ144" s="32">
        <f t="shared" si="9"/>
        <v>5.1744201761695112E-3</v>
      </c>
      <c r="AK144" s="33">
        <f t="shared" si="12"/>
        <v>3.6782075824971913E-4</v>
      </c>
    </row>
    <row r="145" spans="1:37" x14ac:dyDescent="0.3">
      <c r="A145" t="s">
        <v>54</v>
      </c>
      <c r="B145" s="1">
        <v>2016</v>
      </c>
      <c r="C145" s="1" t="str">
        <f t="shared" si="10"/>
        <v>Iowa, 2016</v>
      </c>
      <c r="D145" s="27">
        <v>107</v>
      </c>
      <c r="E145" s="27">
        <v>66</v>
      </c>
      <c r="F145" s="27">
        <v>59</v>
      </c>
      <c r="G145" s="27">
        <v>65</v>
      </c>
      <c r="H145" s="27">
        <v>63</v>
      </c>
      <c r="I145" s="27">
        <v>51</v>
      </c>
      <c r="J145" s="27">
        <v>59</v>
      </c>
      <c r="K145" s="27">
        <v>74</v>
      </c>
      <c r="L145" s="27">
        <v>92</v>
      </c>
      <c r="M145" s="27">
        <v>294</v>
      </c>
      <c r="N145" s="27">
        <v>55</v>
      </c>
      <c r="O145" s="28">
        <v>985</v>
      </c>
      <c r="P145" s="29">
        <v>173267.05700000006</v>
      </c>
      <c r="Q145" s="30">
        <v>355589.9499999999</v>
      </c>
      <c r="R145" s="30">
        <v>395483.86600000004</v>
      </c>
      <c r="S145" s="30">
        <v>351854.25200000015</v>
      </c>
      <c r="T145" s="30">
        <v>325130.5500000001</v>
      </c>
      <c r="U145" s="30">
        <v>356712.24400000001</v>
      </c>
      <c r="V145" s="30">
        <v>350096.75399999996</v>
      </c>
      <c r="W145" s="30">
        <v>226671.66300000003</v>
      </c>
      <c r="X145" s="30">
        <v>128947.67600000006</v>
      </c>
      <c r="Y145" s="30">
        <v>63012.414000000019</v>
      </c>
      <c r="Z145" s="31">
        <v>2726652</v>
      </c>
      <c r="AA145" s="32">
        <f t="shared" si="11"/>
        <v>6.1754381849978533E-4</v>
      </c>
      <c r="AB145" s="32">
        <f t="shared" si="11"/>
        <v>1.856070454184659E-4</v>
      </c>
      <c r="AC145" s="32">
        <f t="shared" si="11"/>
        <v>1.4918434118877557E-4</v>
      </c>
      <c r="AD145" s="32">
        <f t="shared" si="11"/>
        <v>1.8473558193635235E-4</v>
      </c>
      <c r="AE145" s="32">
        <f t="shared" si="11"/>
        <v>1.9376831860309644E-4</v>
      </c>
      <c r="AF145" s="32">
        <f t="shared" si="9"/>
        <v>1.4297238420557271E-4</v>
      </c>
      <c r="AG145" s="32">
        <f t="shared" si="9"/>
        <v>1.6852484156422656E-4</v>
      </c>
      <c r="AH145" s="32">
        <f t="shared" si="9"/>
        <v>3.26463392117964E-4</v>
      </c>
      <c r="AI145" s="32">
        <f t="shared" si="9"/>
        <v>7.1346768591626234E-4</v>
      </c>
      <c r="AJ145" s="32">
        <f t="shared" si="9"/>
        <v>4.6657472922716449E-3</v>
      </c>
      <c r="AK145" s="33">
        <f t="shared" si="12"/>
        <v>3.6124888691332815E-4</v>
      </c>
    </row>
    <row r="146" spans="1:37" x14ac:dyDescent="0.3">
      <c r="A146" t="s">
        <v>54</v>
      </c>
      <c r="B146" s="1">
        <v>2017</v>
      </c>
      <c r="C146" s="1" t="str">
        <f t="shared" si="10"/>
        <v>Iowa, 2017</v>
      </c>
      <c r="D146" s="27">
        <v>125</v>
      </c>
      <c r="E146" s="27">
        <v>53</v>
      </c>
      <c r="F146" s="27">
        <v>41</v>
      </c>
      <c r="G146" s="27">
        <v>57</v>
      </c>
      <c r="H146" s="27">
        <v>52</v>
      </c>
      <c r="I146" s="27">
        <v>61</v>
      </c>
      <c r="J146" s="27">
        <v>68</v>
      </c>
      <c r="K146" s="27">
        <v>64</v>
      </c>
      <c r="L146" s="27">
        <v>86</v>
      </c>
      <c r="M146" s="27">
        <v>327</v>
      </c>
      <c r="N146" s="27">
        <v>63</v>
      </c>
      <c r="O146" s="28">
        <v>997</v>
      </c>
      <c r="P146" s="29">
        <v>168771</v>
      </c>
      <c r="Q146" s="30">
        <v>349730</v>
      </c>
      <c r="R146" s="30">
        <v>385662</v>
      </c>
      <c r="S146" s="30">
        <v>341879</v>
      </c>
      <c r="T146" s="30">
        <v>316783</v>
      </c>
      <c r="U146" s="30">
        <v>338970</v>
      </c>
      <c r="V146" s="30">
        <v>343096</v>
      </c>
      <c r="W146" s="30">
        <v>226844</v>
      </c>
      <c r="X146" s="30">
        <v>125533</v>
      </c>
      <c r="Y146" s="30">
        <v>62134</v>
      </c>
      <c r="Z146" s="31">
        <v>2659402</v>
      </c>
      <c r="AA146" s="32">
        <f t="shared" si="11"/>
        <v>7.406485711407766E-4</v>
      </c>
      <c r="AB146" s="32">
        <f t="shared" si="11"/>
        <v>1.5154547794012525E-4</v>
      </c>
      <c r="AC146" s="32">
        <f t="shared" si="11"/>
        <v>1.063107073032863E-4</v>
      </c>
      <c r="AD146" s="32">
        <f t="shared" si="11"/>
        <v>1.6672565439819351E-4</v>
      </c>
      <c r="AE146" s="32">
        <f t="shared" si="11"/>
        <v>1.6415022270765793E-4</v>
      </c>
      <c r="AF146" s="32">
        <f t="shared" si="9"/>
        <v>1.7995692834174115E-4</v>
      </c>
      <c r="AG146" s="32">
        <f t="shared" si="9"/>
        <v>1.9819525730407816E-4</v>
      </c>
      <c r="AH146" s="32">
        <f t="shared" si="9"/>
        <v>2.8213221420888364E-4</v>
      </c>
      <c r="AI146" s="32">
        <f t="shared" si="9"/>
        <v>6.8507882389491214E-4</v>
      </c>
      <c r="AJ146" s="32">
        <f t="shared" si="9"/>
        <v>5.262819068464931E-3</v>
      </c>
      <c r="AK146" s="33">
        <f t="shared" si="12"/>
        <v>3.7489631127599364E-4</v>
      </c>
    </row>
    <row r="147" spans="1:37" x14ac:dyDescent="0.3">
      <c r="A147" t="s">
        <v>55</v>
      </c>
      <c r="B147" s="1">
        <v>2009</v>
      </c>
      <c r="C147" s="1" t="str">
        <f t="shared" si="10"/>
        <v>Kansas, 2009</v>
      </c>
      <c r="D147" s="27">
        <v>138</v>
      </c>
      <c r="E147" s="27">
        <v>67</v>
      </c>
      <c r="F147" s="27">
        <v>44</v>
      </c>
      <c r="G147" s="27">
        <v>59</v>
      </c>
      <c r="H147" s="27">
        <v>61</v>
      </c>
      <c r="I147" s="27">
        <v>49</v>
      </c>
      <c r="J147" s="27">
        <v>37</v>
      </c>
      <c r="K147" s="27">
        <v>69</v>
      </c>
      <c r="L147" s="27">
        <v>133</v>
      </c>
      <c r="M147" s="27">
        <v>322</v>
      </c>
      <c r="N147" s="27">
        <v>71</v>
      </c>
      <c r="O147" s="28">
        <v>1050</v>
      </c>
      <c r="P147" s="29">
        <v>198379.46799999996</v>
      </c>
      <c r="Q147" s="30">
        <v>379057.00200000009</v>
      </c>
      <c r="R147" s="30">
        <v>421151.44900000008</v>
      </c>
      <c r="S147" s="30">
        <v>354336.20699999999</v>
      </c>
      <c r="T147" s="30">
        <v>361402.05899999995</v>
      </c>
      <c r="U147" s="30">
        <v>400816.24500000017</v>
      </c>
      <c r="V147" s="30">
        <v>292661.38199999998</v>
      </c>
      <c r="W147" s="30">
        <v>174046.21700000012</v>
      </c>
      <c r="X147" s="30">
        <v>125547.88200000004</v>
      </c>
      <c r="Y147" s="30">
        <v>57578.03899999999</v>
      </c>
      <c r="Z147" s="31">
        <v>2765788</v>
      </c>
      <c r="AA147" s="32">
        <f t="shared" si="11"/>
        <v>6.9563650609245518E-4</v>
      </c>
      <c r="AB147" s="32">
        <f t="shared" si="11"/>
        <v>1.7675441858741863E-4</v>
      </c>
      <c r="AC147" s="32">
        <f t="shared" si="11"/>
        <v>1.0447548050582628E-4</v>
      </c>
      <c r="AD147" s="32">
        <f t="shared" si="11"/>
        <v>1.6650852730948831E-4</v>
      </c>
      <c r="AE147" s="32">
        <f t="shared" si="11"/>
        <v>1.6878708485720058E-4</v>
      </c>
      <c r="AF147" s="32">
        <f t="shared" si="9"/>
        <v>1.2225053403212233E-4</v>
      </c>
      <c r="AG147" s="32">
        <f t="shared" si="9"/>
        <v>1.2642597307218348E-4</v>
      </c>
      <c r="AH147" s="32">
        <f t="shared" si="9"/>
        <v>3.9644642204432376E-4</v>
      </c>
      <c r="AI147" s="32">
        <f t="shared" si="9"/>
        <v>1.0593567799096759E-3</v>
      </c>
      <c r="AJ147" s="32">
        <f t="shared" si="9"/>
        <v>5.5924099811735526E-3</v>
      </c>
      <c r="AK147" s="33">
        <f t="shared" si="12"/>
        <v>3.7963864186264459E-4</v>
      </c>
    </row>
    <row r="148" spans="1:37" x14ac:dyDescent="0.3">
      <c r="A148" t="s">
        <v>55</v>
      </c>
      <c r="B148" s="1">
        <v>2010</v>
      </c>
      <c r="C148" s="1" t="str">
        <f t="shared" si="10"/>
        <v>Kansas, 2010</v>
      </c>
      <c r="D148" s="27">
        <v>110</v>
      </c>
      <c r="E148" s="27">
        <v>47</v>
      </c>
      <c r="F148" s="27">
        <v>55</v>
      </c>
      <c r="G148" s="27">
        <v>29</v>
      </c>
      <c r="H148" s="27">
        <v>64</v>
      </c>
      <c r="I148" s="27">
        <v>72</v>
      </c>
      <c r="J148" s="27">
        <v>63</v>
      </c>
      <c r="K148" s="27">
        <v>56</v>
      </c>
      <c r="L148" s="27">
        <v>123</v>
      </c>
      <c r="M148" s="27">
        <v>303</v>
      </c>
      <c r="N148" s="27">
        <v>40</v>
      </c>
      <c r="O148" s="28">
        <v>962</v>
      </c>
      <c r="P148" s="29">
        <v>193022.109</v>
      </c>
      <c r="Q148" s="30">
        <v>383204.22600000002</v>
      </c>
      <c r="R148" s="30">
        <v>401128.95899999992</v>
      </c>
      <c r="S148" s="30">
        <v>350982.55999999994</v>
      </c>
      <c r="T148" s="30">
        <v>347684.7030000001</v>
      </c>
      <c r="U148" s="30">
        <v>396199.29300000001</v>
      </c>
      <c r="V148" s="30">
        <v>300936.0039999999</v>
      </c>
      <c r="W148" s="30">
        <v>176151.94500000001</v>
      </c>
      <c r="X148" s="30">
        <v>123322.24799999996</v>
      </c>
      <c r="Y148" s="30">
        <v>55950.854000000007</v>
      </c>
      <c r="Z148" s="31">
        <v>2728357</v>
      </c>
      <c r="AA148" s="32">
        <f t="shared" si="11"/>
        <v>5.6988290393200506E-4</v>
      </c>
      <c r="AB148" s="32">
        <f t="shared" si="11"/>
        <v>1.2265000438695578E-4</v>
      </c>
      <c r="AC148" s="32">
        <f t="shared" si="11"/>
        <v>1.3711301257608781E-4</v>
      </c>
      <c r="AD148" s="32">
        <f t="shared" si="11"/>
        <v>8.2625187986548409E-5</v>
      </c>
      <c r="AE148" s="32">
        <f t="shared" si="11"/>
        <v>1.8407482252677645E-4</v>
      </c>
      <c r="AF148" s="32">
        <f t="shared" si="9"/>
        <v>1.8172672509034486E-4</v>
      </c>
      <c r="AG148" s="32">
        <f t="shared" si="9"/>
        <v>2.093468350832492E-4</v>
      </c>
      <c r="AH148" s="32">
        <f t="shared" si="9"/>
        <v>3.1790736117049404E-4</v>
      </c>
      <c r="AI148" s="32">
        <f t="shared" si="9"/>
        <v>9.9738694351403671E-4</v>
      </c>
      <c r="AJ148" s="32">
        <f t="shared" si="9"/>
        <v>5.4154669381811394E-3</v>
      </c>
      <c r="AK148" s="33">
        <f t="shared" si="12"/>
        <v>3.5259315404838885E-4</v>
      </c>
    </row>
    <row r="149" spans="1:37" x14ac:dyDescent="0.3">
      <c r="A149" t="s">
        <v>55</v>
      </c>
      <c r="B149" s="1">
        <v>2011</v>
      </c>
      <c r="C149" s="1" t="str">
        <f t="shared" si="10"/>
        <v>Kansas, 2011</v>
      </c>
      <c r="D149" s="27">
        <v>111</v>
      </c>
      <c r="E149" s="27">
        <v>48</v>
      </c>
      <c r="F149" s="27">
        <v>67</v>
      </c>
      <c r="G149" s="27">
        <v>49</v>
      </c>
      <c r="H149" s="27">
        <v>77</v>
      </c>
      <c r="I149" s="27">
        <v>51</v>
      </c>
      <c r="J149" s="27">
        <v>56</v>
      </c>
      <c r="K149" s="27">
        <v>56</v>
      </c>
      <c r="L149" s="27">
        <v>127</v>
      </c>
      <c r="M149" s="27">
        <v>374</v>
      </c>
      <c r="N149" s="27">
        <v>63</v>
      </c>
      <c r="O149" s="28">
        <v>1079</v>
      </c>
      <c r="P149" s="29">
        <v>195157.96399999998</v>
      </c>
      <c r="Q149" s="30">
        <v>389813.81099999987</v>
      </c>
      <c r="R149" s="30">
        <v>378345.07499999995</v>
      </c>
      <c r="S149" s="30">
        <v>355450.38600000006</v>
      </c>
      <c r="T149" s="30">
        <v>348167.391</v>
      </c>
      <c r="U149" s="30">
        <v>396456.65900000004</v>
      </c>
      <c r="V149" s="30">
        <v>312165.8079999999</v>
      </c>
      <c r="W149" s="30">
        <v>179763.10899999994</v>
      </c>
      <c r="X149" s="30">
        <v>121550.83899999999</v>
      </c>
      <c r="Y149" s="30">
        <v>55812.620999999992</v>
      </c>
      <c r="Z149" s="31">
        <v>2733165</v>
      </c>
      <c r="AA149" s="32">
        <f t="shared" si="11"/>
        <v>5.6877002467601071E-4</v>
      </c>
      <c r="AB149" s="32">
        <f t="shared" si="11"/>
        <v>1.2313570901160303E-4</v>
      </c>
      <c r="AC149" s="32">
        <f t="shared" si="11"/>
        <v>1.7708701507479648E-4</v>
      </c>
      <c r="AD149" s="32">
        <f t="shared" si="11"/>
        <v>1.3785327553421194E-4</v>
      </c>
      <c r="AE149" s="32">
        <f t="shared" si="11"/>
        <v>2.2115798891688855E-4</v>
      </c>
      <c r="AF149" s="32">
        <f t="shared" si="9"/>
        <v>1.286395343406251E-4</v>
      </c>
      <c r="AG149" s="32">
        <f t="shared" si="9"/>
        <v>1.7939184422145304E-4</v>
      </c>
      <c r="AH149" s="32">
        <f t="shared" si="9"/>
        <v>3.1152109190545887E-4</v>
      </c>
      <c r="AI149" s="32">
        <f t="shared" si="9"/>
        <v>1.0448303034749106E-3</v>
      </c>
      <c r="AJ149" s="32">
        <f t="shared" si="9"/>
        <v>6.7009933111723966E-3</v>
      </c>
      <c r="AK149" s="33">
        <f t="shared" si="12"/>
        <v>3.9478041025697315E-4</v>
      </c>
    </row>
    <row r="150" spans="1:37" x14ac:dyDescent="0.3">
      <c r="A150" t="s">
        <v>55</v>
      </c>
      <c r="B150" s="1">
        <v>2012</v>
      </c>
      <c r="C150" s="1" t="str">
        <f t="shared" si="10"/>
        <v>Kansas, 2012</v>
      </c>
      <c r="D150" s="27">
        <v>124</v>
      </c>
      <c r="E150" s="27">
        <v>55</v>
      </c>
      <c r="F150" s="27">
        <v>52</v>
      </c>
      <c r="G150" s="27">
        <v>48</v>
      </c>
      <c r="H150" s="27">
        <v>49</v>
      </c>
      <c r="I150" s="27">
        <v>59</v>
      </c>
      <c r="J150" s="27">
        <v>48</v>
      </c>
      <c r="K150" s="27">
        <v>49</v>
      </c>
      <c r="L150" s="27">
        <v>158</v>
      </c>
      <c r="M150" s="27">
        <v>348</v>
      </c>
      <c r="N150" s="27">
        <v>46</v>
      </c>
      <c r="O150" s="28">
        <v>1036</v>
      </c>
      <c r="P150" s="29">
        <v>197888.11200000005</v>
      </c>
      <c r="Q150" s="30">
        <v>390777.09000000008</v>
      </c>
      <c r="R150" s="30">
        <v>400757.78100000002</v>
      </c>
      <c r="S150" s="30">
        <v>370005.13700000016</v>
      </c>
      <c r="T150" s="30">
        <v>342797.94299999991</v>
      </c>
      <c r="U150" s="30">
        <v>392438.91100000008</v>
      </c>
      <c r="V150" s="30">
        <v>323762.84499999997</v>
      </c>
      <c r="W150" s="30">
        <v>186507.51699999996</v>
      </c>
      <c r="X150" s="30">
        <v>121236.59300000001</v>
      </c>
      <c r="Y150" s="30">
        <v>56891.082000000017</v>
      </c>
      <c r="Z150" s="31">
        <v>2781671</v>
      </c>
      <c r="AA150" s="32">
        <f t="shared" si="11"/>
        <v>6.2661672167552932E-4</v>
      </c>
      <c r="AB150" s="32">
        <f t="shared" si="11"/>
        <v>1.4074520079977051E-4</v>
      </c>
      <c r="AC150" s="32">
        <f t="shared" si="11"/>
        <v>1.2975418685632457E-4</v>
      </c>
      <c r="AD150" s="32">
        <f t="shared" si="11"/>
        <v>1.2972792861521806E-4</v>
      </c>
      <c r="AE150" s="32">
        <f t="shared" si="11"/>
        <v>1.4294134781316355E-4</v>
      </c>
      <c r="AF150" s="32">
        <f t="shared" si="9"/>
        <v>1.5034187066124028E-4</v>
      </c>
      <c r="AG150" s="32">
        <f t="shared" si="9"/>
        <v>1.4825666607914817E-4</v>
      </c>
      <c r="AH150" s="32">
        <f t="shared" si="9"/>
        <v>2.6272399519425272E-4</v>
      </c>
      <c r="AI150" s="32">
        <f t="shared" si="9"/>
        <v>1.3032368865726867E-3</v>
      </c>
      <c r="AJ150" s="32">
        <f t="shared" si="9"/>
        <v>6.1169516867336064E-3</v>
      </c>
      <c r="AK150" s="33">
        <f t="shared" si="12"/>
        <v>3.724380057886069E-4</v>
      </c>
    </row>
    <row r="151" spans="1:37" x14ac:dyDescent="0.3">
      <c r="A151" t="s">
        <v>55</v>
      </c>
      <c r="B151" s="1">
        <v>2013</v>
      </c>
      <c r="C151" s="1" t="str">
        <f t="shared" si="10"/>
        <v>Kansas, 2013</v>
      </c>
      <c r="D151" s="27">
        <v>114</v>
      </c>
      <c r="E151" s="27">
        <v>50</v>
      </c>
      <c r="F151" s="27">
        <v>56</v>
      </c>
      <c r="G151" s="27">
        <v>61</v>
      </c>
      <c r="H151" s="27">
        <v>30</v>
      </c>
      <c r="I151" s="27">
        <v>61</v>
      </c>
      <c r="J151" s="27">
        <v>64</v>
      </c>
      <c r="K151" s="27">
        <v>67</v>
      </c>
      <c r="L151" s="27">
        <v>134</v>
      </c>
      <c r="M151" s="27">
        <v>403</v>
      </c>
      <c r="N151" s="27">
        <v>68</v>
      </c>
      <c r="O151" s="28">
        <v>1108</v>
      </c>
      <c r="P151" s="29">
        <v>185978.51500000001</v>
      </c>
      <c r="Q151" s="30">
        <v>372338.43799999991</v>
      </c>
      <c r="R151" s="30">
        <v>381486.85100000002</v>
      </c>
      <c r="S151" s="30">
        <v>352403.48600000009</v>
      </c>
      <c r="T151" s="30">
        <v>324918.0340000001</v>
      </c>
      <c r="U151" s="30">
        <v>369297.11200000002</v>
      </c>
      <c r="V151" s="30">
        <v>322136.38100000005</v>
      </c>
      <c r="W151" s="30">
        <v>187877.02099999998</v>
      </c>
      <c r="X151" s="30">
        <v>115881.41600000003</v>
      </c>
      <c r="Y151" s="30">
        <v>55437.275999999998</v>
      </c>
      <c r="Z151" s="31">
        <v>2668768</v>
      </c>
      <c r="AA151" s="32">
        <f t="shared" si="11"/>
        <v>6.1297403089813894E-4</v>
      </c>
      <c r="AB151" s="32">
        <f t="shared" si="11"/>
        <v>1.3428643109901001E-4</v>
      </c>
      <c r="AC151" s="32">
        <f t="shared" si="11"/>
        <v>1.4679405031446286E-4</v>
      </c>
      <c r="AD151" s="32">
        <f t="shared" si="11"/>
        <v>1.7309703911385252E-4</v>
      </c>
      <c r="AE151" s="32">
        <f t="shared" si="11"/>
        <v>9.2330978464556359E-5</v>
      </c>
      <c r="AF151" s="32">
        <f t="shared" si="9"/>
        <v>1.6517865430802501E-4</v>
      </c>
      <c r="AG151" s="32">
        <f t="shared" si="9"/>
        <v>1.9867361706034684E-4</v>
      </c>
      <c r="AH151" s="32">
        <f t="shared" si="9"/>
        <v>3.566162569716283E-4</v>
      </c>
      <c r="AI151" s="32">
        <f t="shared" si="9"/>
        <v>1.1563545271141662E-3</v>
      </c>
      <c r="AJ151" s="32">
        <f t="shared" si="9"/>
        <v>7.2694769490477852E-3</v>
      </c>
      <c r="AK151" s="33">
        <f t="shared" si="12"/>
        <v>4.1517284379908632E-4</v>
      </c>
    </row>
    <row r="152" spans="1:37" x14ac:dyDescent="0.3">
      <c r="A152" t="s">
        <v>55</v>
      </c>
      <c r="B152" s="1">
        <v>2014</v>
      </c>
      <c r="C152" s="1" t="str">
        <f t="shared" si="10"/>
        <v>Kansas, 2014</v>
      </c>
      <c r="D152" s="27">
        <v>77</v>
      </c>
      <c r="E152" s="27">
        <v>51</v>
      </c>
      <c r="F152" s="27">
        <v>59</v>
      </c>
      <c r="G152" s="27">
        <v>34</v>
      </c>
      <c r="H152" s="27">
        <v>76</v>
      </c>
      <c r="I152" s="27">
        <v>47</v>
      </c>
      <c r="J152" s="27">
        <v>63</v>
      </c>
      <c r="K152" s="27">
        <v>53</v>
      </c>
      <c r="L152" s="27">
        <v>138</v>
      </c>
      <c r="M152" s="27">
        <v>307</v>
      </c>
      <c r="N152" s="27">
        <v>52</v>
      </c>
      <c r="O152" s="28">
        <v>957</v>
      </c>
      <c r="P152" s="29">
        <v>190740.63200000001</v>
      </c>
      <c r="Q152" s="30">
        <v>379950.19999999995</v>
      </c>
      <c r="R152" s="30">
        <v>393205.7190000001</v>
      </c>
      <c r="S152" s="30">
        <v>366090.74900000024</v>
      </c>
      <c r="T152" s="30">
        <v>328930.55300000001</v>
      </c>
      <c r="U152" s="30">
        <v>364842.49800000002</v>
      </c>
      <c r="V152" s="30">
        <v>330460.30300000001</v>
      </c>
      <c r="W152" s="30">
        <v>194024.89600000007</v>
      </c>
      <c r="X152" s="30">
        <v>117731.72100000001</v>
      </c>
      <c r="Y152" s="30">
        <v>56308.017999999989</v>
      </c>
      <c r="Z152" s="31">
        <v>2722400</v>
      </c>
      <c r="AA152" s="32">
        <f t="shared" si="11"/>
        <v>4.0368955053058644E-4</v>
      </c>
      <c r="AB152" s="32">
        <f t="shared" si="11"/>
        <v>1.3422811726378878E-4</v>
      </c>
      <c r="AC152" s="32">
        <f t="shared" si="11"/>
        <v>1.5004868227768575E-4</v>
      </c>
      <c r="AD152" s="32">
        <f t="shared" si="11"/>
        <v>9.2873147144179752E-5</v>
      </c>
      <c r="AE152" s="32">
        <f t="shared" si="11"/>
        <v>2.3105181110980589E-4</v>
      </c>
      <c r="AF152" s="32">
        <f t="shared" si="9"/>
        <v>1.2882271187607096E-4</v>
      </c>
      <c r="AG152" s="32">
        <f t="shared" si="9"/>
        <v>1.906431708379811E-4</v>
      </c>
      <c r="AH152" s="32">
        <f t="shared" si="9"/>
        <v>2.7316082158858617E-4</v>
      </c>
      <c r="AI152" s="32">
        <f t="shared" si="9"/>
        <v>1.1721564827885257E-3</v>
      </c>
      <c r="AJ152" s="32">
        <f t="shared" si="9"/>
        <v>5.4521542562553007E-3</v>
      </c>
      <c r="AK152" s="33">
        <f t="shared" si="12"/>
        <v>3.5152806347340582E-4</v>
      </c>
    </row>
    <row r="153" spans="1:37" x14ac:dyDescent="0.3">
      <c r="A153" t="s">
        <v>55</v>
      </c>
      <c r="B153" s="1">
        <v>2015</v>
      </c>
      <c r="C153" s="1" t="str">
        <f t="shared" si="10"/>
        <v>Kansas, 2015</v>
      </c>
      <c r="D153" s="27">
        <v>92</v>
      </c>
      <c r="E153" s="27">
        <v>65</v>
      </c>
      <c r="F153" s="27">
        <v>46</v>
      </c>
      <c r="G153" s="27">
        <v>56</v>
      </c>
      <c r="H153" s="27">
        <v>49</v>
      </c>
      <c r="I153" s="27">
        <v>69</v>
      </c>
      <c r="J153" s="27">
        <v>59</v>
      </c>
      <c r="K153" s="27">
        <v>67</v>
      </c>
      <c r="L153" s="27">
        <v>134</v>
      </c>
      <c r="M153" s="27">
        <v>360</v>
      </c>
      <c r="N153" s="27">
        <v>55</v>
      </c>
      <c r="O153" s="28">
        <v>1052</v>
      </c>
      <c r="P153" s="29">
        <v>190444.054</v>
      </c>
      <c r="Q153" s="30">
        <v>384222.353</v>
      </c>
      <c r="R153" s="30">
        <v>401724.82100000011</v>
      </c>
      <c r="S153" s="30">
        <v>369323.5120000001</v>
      </c>
      <c r="T153" s="30">
        <v>331119.2310000002</v>
      </c>
      <c r="U153" s="30">
        <v>361902.28500000015</v>
      </c>
      <c r="V153" s="30">
        <v>342745.46799999994</v>
      </c>
      <c r="W153" s="30">
        <v>208672.31699999998</v>
      </c>
      <c r="X153" s="30">
        <v>119880.06300000004</v>
      </c>
      <c r="Y153" s="30">
        <v>56970.579000000005</v>
      </c>
      <c r="Z153" s="31">
        <v>2766812</v>
      </c>
      <c r="AA153" s="32">
        <f t="shared" si="11"/>
        <v>4.8308150382053933E-4</v>
      </c>
      <c r="AB153" s="32">
        <f t="shared" si="11"/>
        <v>1.6917287474942926E-4</v>
      </c>
      <c r="AC153" s="32">
        <f t="shared" si="11"/>
        <v>1.1450624306831164E-4</v>
      </c>
      <c r="AD153" s="32">
        <f t="shared" si="11"/>
        <v>1.516285808524424E-4</v>
      </c>
      <c r="AE153" s="32">
        <f t="shared" si="11"/>
        <v>1.4798294817252691E-4</v>
      </c>
      <c r="AF153" s="32">
        <f t="shared" si="9"/>
        <v>1.9065919962345628E-4</v>
      </c>
      <c r="AG153" s="32">
        <f t="shared" si="9"/>
        <v>1.721394022925491E-4</v>
      </c>
      <c r="AH153" s="32">
        <f t="shared" si="9"/>
        <v>3.2107756775423167E-4</v>
      </c>
      <c r="AI153" s="32">
        <f t="shared" si="9"/>
        <v>1.1177838636938317E-3</v>
      </c>
      <c r="AJ153" s="32">
        <f t="shared" si="9"/>
        <v>6.3190511017976484E-3</v>
      </c>
      <c r="AK153" s="33">
        <f t="shared" si="12"/>
        <v>3.8022099080096516E-4</v>
      </c>
    </row>
    <row r="154" spans="1:37" x14ac:dyDescent="0.3">
      <c r="A154" t="s">
        <v>55</v>
      </c>
      <c r="B154" s="1">
        <v>2016</v>
      </c>
      <c r="C154" s="1" t="str">
        <f t="shared" si="10"/>
        <v>Kansas, 2016</v>
      </c>
      <c r="D154" s="27">
        <v>106</v>
      </c>
      <c r="E154" s="27">
        <v>50</v>
      </c>
      <c r="F154" s="27">
        <v>56</v>
      </c>
      <c r="G154" s="27">
        <v>48</v>
      </c>
      <c r="H154" s="27">
        <v>57</v>
      </c>
      <c r="I154" s="27">
        <v>61</v>
      </c>
      <c r="J154" s="27">
        <v>59</v>
      </c>
      <c r="K154" s="27">
        <v>73</v>
      </c>
      <c r="L154" s="27">
        <v>98</v>
      </c>
      <c r="M154" s="27">
        <v>272</v>
      </c>
      <c r="N154" s="27">
        <v>40</v>
      </c>
      <c r="O154" s="28">
        <v>920</v>
      </c>
      <c r="P154" s="29">
        <v>188014.94100000008</v>
      </c>
      <c r="Q154" s="30">
        <v>380809.98899999994</v>
      </c>
      <c r="R154" s="30">
        <v>398736.39799999987</v>
      </c>
      <c r="S154" s="30">
        <v>367116.69899999996</v>
      </c>
      <c r="T154" s="30">
        <v>330463.08900000004</v>
      </c>
      <c r="U154" s="30">
        <v>350514.20399999991</v>
      </c>
      <c r="V154" s="30">
        <v>341049.82600000006</v>
      </c>
      <c r="W154" s="30">
        <v>211386.17499999996</v>
      </c>
      <c r="X154" s="30">
        <v>117713.53100000002</v>
      </c>
      <c r="Y154" s="30">
        <v>56281.535000000003</v>
      </c>
      <c r="Z154" s="31">
        <v>2740312</v>
      </c>
      <c r="AA154" s="32">
        <f t="shared" si="11"/>
        <v>5.6378498132230858E-4</v>
      </c>
      <c r="AB154" s="32">
        <f t="shared" si="11"/>
        <v>1.3129907682122278E-4</v>
      </c>
      <c r="AC154" s="32">
        <f t="shared" si="11"/>
        <v>1.4044366223120674E-4</v>
      </c>
      <c r="AD154" s="32">
        <f t="shared" si="11"/>
        <v>1.307486151699136E-4</v>
      </c>
      <c r="AE154" s="32">
        <f t="shared" si="11"/>
        <v>1.7248522421213581E-4</v>
      </c>
      <c r="AF154" s="32">
        <f t="shared" si="9"/>
        <v>1.7403003731055651E-4</v>
      </c>
      <c r="AG154" s="32">
        <f t="shared" si="9"/>
        <v>1.7299525026000156E-4</v>
      </c>
      <c r="AH154" s="32">
        <f t="shared" si="9"/>
        <v>3.4533951901064491E-4</v>
      </c>
      <c r="AI154" s="32">
        <f t="shared" si="9"/>
        <v>8.3252960953146484E-4</v>
      </c>
      <c r="AJ154" s="32">
        <f t="shared" si="9"/>
        <v>4.8328461546047023E-3</v>
      </c>
      <c r="AK154" s="33">
        <f t="shared" si="12"/>
        <v>3.3572819445377023E-4</v>
      </c>
    </row>
    <row r="155" spans="1:37" x14ac:dyDescent="0.3">
      <c r="A155" t="s">
        <v>55</v>
      </c>
      <c r="B155" s="1">
        <v>2017</v>
      </c>
      <c r="C155" s="1" t="str">
        <f t="shared" si="10"/>
        <v>Kansas, 2017</v>
      </c>
      <c r="D155" s="27">
        <v>96</v>
      </c>
      <c r="E155" s="27">
        <v>54</v>
      </c>
      <c r="F155" s="27">
        <v>54</v>
      </c>
      <c r="G155" s="27">
        <v>55</v>
      </c>
      <c r="H155" s="27">
        <v>60</v>
      </c>
      <c r="I155" s="27">
        <v>51</v>
      </c>
      <c r="J155" s="27">
        <v>69</v>
      </c>
      <c r="K155" s="27">
        <v>90</v>
      </c>
      <c r="L155" s="27">
        <v>115</v>
      </c>
      <c r="M155" s="27">
        <v>281</v>
      </c>
      <c r="N155" s="27">
        <v>77</v>
      </c>
      <c r="O155" s="28">
        <v>1002</v>
      </c>
      <c r="P155" s="29">
        <v>182099</v>
      </c>
      <c r="Q155" s="30">
        <v>373010</v>
      </c>
      <c r="R155" s="30">
        <v>389666</v>
      </c>
      <c r="S155" s="30">
        <v>360982</v>
      </c>
      <c r="T155" s="30">
        <v>326605</v>
      </c>
      <c r="U155" s="30">
        <v>336322</v>
      </c>
      <c r="V155" s="30">
        <v>343000</v>
      </c>
      <c r="W155" s="30">
        <v>221906</v>
      </c>
      <c r="X155" s="30">
        <v>119720</v>
      </c>
      <c r="Y155" s="30">
        <v>57371</v>
      </c>
      <c r="Z155" s="31">
        <v>2710681</v>
      </c>
      <c r="AA155" s="32">
        <f t="shared" si="11"/>
        <v>5.2718576159122238E-4</v>
      </c>
      <c r="AB155" s="32">
        <f t="shared" si="11"/>
        <v>1.4476823677649393E-4</v>
      </c>
      <c r="AC155" s="32">
        <f t="shared" si="11"/>
        <v>1.3858021998326773E-4</v>
      </c>
      <c r="AD155" s="32">
        <f t="shared" si="11"/>
        <v>1.5236216764270795E-4</v>
      </c>
      <c r="AE155" s="32">
        <f t="shared" si="11"/>
        <v>1.8370814898730883E-4</v>
      </c>
      <c r="AF155" s="32">
        <f t="shared" si="9"/>
        <v>1.5164039224314793E-4</v>
      </c>
      <c r="AG155" s="32">
        <f t="shared" si="9"/>
        <v>2.0116618075801749E-4</v>
      </c>
      <c r="AH155" s="32">
        <f t="shared" si="9"/>
        <v>4.0557713626490497E-4</v>
      </c>
      <c r="AI155" s="32">
        <f t="shared" si="9"/>
        <v>9.6057467423989304E-4</v>
      </c>
      <c r="AJ155" s="32">
        <f t="shared" si="9"/>
        <v>4.8979449547680888E-3</v>
      </c>
      <c r="AK155" s="33">
        <f t="shared" si="12"/>
        <v>3.6964880780881261E-4</v>
      </c>
    </row>
    <row r="156" spans="1:37" x14ac:dyDescent="0.3">
      <c r="A156" t="s">
        <v>56</v>
      </c>
      <c r="B156" s="1">
        <v>2009</v>
      </c>
      <c r="C156" s="1" t="str">
        <f t="shared" si="10"/>
        <v>Kentucky, 2009</v>
      </c>
      <c r="D156" s="27">
        <v>99</v>
      </c>
      <c r="E156" s="27">
        <v>56</v>
      </c>
      <c r="F156" s="27">
        <v>50</v>
      </c>
      <c r="G156" s="27">
        <v>58</v>
      </c>
      <c r="H156" s="27">
        <v>73</v>
      </c>
      <c r="I156" s="27">
        <v>55</v>
      </c>
      <c r="J156" s="27">
        <v>70</v>
      </c>
      <c r="K156" s="27">
        <v>144</v>
      </c>
      <c r="L156" s="27">
        <v>268</v>
      </c>
      <c r="M156" s="27">
        <v>398</v>
      </c>
      <c r="N156" s="27">
        <v>68</v>
      </c>
      <c r="O156" s="28">
        <v>1339</v>
      </c>
      <c r="P156" s="29">
        <v>282636.46099999995</v>
      </c>
      <c r="Q156" s="30">
        <v>550571.79999999993</v>
      </c>
      <c r="R156" s="30">
        <v>588040.89599999995</v>
      </c>
      <c r="S156" s="30">
        <v>564453.21500000008</v>
      </c>
      <c r="T156" s="30">
        <v>598808.69800000009</v>
      </c>
      <c r="U156" s="30">
        <v>623013.44400000002</v>
      </c>
      <c r="V156" s="30">
        <v>483961.62199999997</v>
      </c>
      <c r="W156" s="30">
        <v>296069.71299999981</v>
      </c>
      <c r="X156" s="30">
        <v>183843.7319999999</v>
      </c>
      <c r="Y156" s="30">
        <v>67024.43200000003</v>
      </c>
      <c r="Z156" s="31">
        <v>4238868</v>
      </c>
      <c r="AA156" s="32">
        <f t="shared" si="11"/>
        <v>3.5027327914355686E-4</v>
      </c>
      <c r="AB156" s="32">
        <f t="shared" si="11"/>
        <v>1.0171243786913897E-4</v>
      </c>
      <c r="AC156" s="32">
        <f t="shared" si="11"/>
        <v>8.5028099814336727E-5</v>
      </c>
      <c r="AD156" s="32">
        <f t="shared" si="11"/>
        <v>1.0275430887571434E-4</v>
      </c>
      <c r="AE156" s="32">
        <f t="shared" si="11"/>
        <v>1.2190871683029559E-4</v>
      </c>
      <c r="AF156" s="32">
        <f t="shared" si="9"/>
        <v>8.8280598965694224E-5</v>
      </c>
      <c r="AG156" s="32">
        <f t="shared" si="9"/>
        <v>1.4463956813501216E-4</v>
      </c>
      <c r="AH156" s="32">
        <f t="shared" si="9"/>
        <v>4.8637193767942112E-4</v>
      </c>
      <c r="AI156" s="32">
        <f t="shared" si="9"/>
        <v>1.4577597891670309E-3</v>
      </c>
      <c r="AJ156" s="32">
        <f t="shared" si="9"/>
        <v>5.938133127334818E-3</v>
      </c>
      <c r="AK156" s="33">
        <f t="shared" si="12"/>
        <v>3.158862224537306E-4</v>
      </c>
    </row>
    <row r="157" spans="1:37" x14ac:dyDescent="0.3">
      <c r="A157" t="s">
        <v>56</v>
      </c>
      <c r="B157" s="1">
        <v>2010</v>
      </c>
      <c r="C157" s="1" t="str">
        <f t="shared" si="10"/>
        <v>Kentucky, 2010</v>
      </c>
      <c r="D157" s="27">
        <v>120</v>
      </c>
      <c r="E157" s="27">
        <v>63</v>
      </c>
      <c r="F157" s="27">
        <v>64</v>
      </c>
      <c r="G157" s="27">
        <v>54</v>
      </c>
      <c r="H157" s="27">
        <v>67</v>
      </c>
      <c r="I157" s="27">
        <v>55</v>
      </c>
      <c r="J157" s="27">
        <v>50</v>
      </c>
      <c r="K157" s="27">
        <v>100</v>
      </c>
      <c r="L157" s="27">
        <v>266</v>
      </c>
      <c r="M157" s="27">
        <v>407</v>
      </c>
      <c r="N157" s="27">
        <v>58</v>
      </c>
      <c r="O157" s="28">
        <v>1304</v>
      </c>
      <c r="P157" s="29">
        <v>262125.55100000004</v>
      </c>
      <c r="Q157" s="30">
        <v>530805.99500000011</v>
      </c>
      <c r="R157" s="30">
        <v>554233.19200000004</v>
      </c>
      <c r="S157" s="30">
        <v>528428.7790000001</v>
      </c>
      <c r="T157" s="30">
        <v>557698.21300000011</v>
      </c>
      <c r="U157" s="30">
        <v>596626.31400000025</v>
      </c>
      <c r="V157" s="30">
        <v>476764.04099999997</v>
      </c>
      <c r="W157" s="30">
        <v>289498.48599999998</v>
      </c>
      <c r="X157" s="30">
        <v>170859.679</v>
      </c>
      <c r="Y157" s="30">
        <v>64561.036</v>
      </c>
      <c r="Z157" s="31">
        <v>4031352</v>
      </c>
      <c r="AA157" s="32">
        <f t="shared" si="11"/>
        <v>4.5779589033653566E-4</v>
      </c>
      <c r="AB157" s="32">
        <f t="shared" si="11"/>
        <v>1.1868743117718553E-4</v>
      </c>
      <c r="AC157" s="32">
        <f t="shared" si="11"/>
        <v>1.1547485954251545E-4</v>
      </c>
      <c r="AD157" s="32">
        <f t="shared" si="11"/>
        <v>1.0218974088086143E-4</v>
      </c>
      <c r="AE157" s="32">
        <f t="shared" si="11"/>
        <v>1.2013665892811456E-4</v>
      </c>
      <c r="AF157" s="32">
        <f t="shared" si="9"/>
        <v>9.2185005437088347E-5</v>
      </c>
      <c r="AG157" s="32">
        <f t="shared" si="9"/>
        <v>1.0487368110884857E-4</v>
      </c>
      <c r="AH157" s="32">
        <f t="shared" si="9"/>
        <v>3.4542494982167199E-4</v>
      </c>
      <c r="AI157" s="32">
        <f t="shared" si="9"/>
        <v>1.5568330782126775E-3</v>
      </c>
      <c r="AJ157" s="32">
        <f t="shared" si="9"/>
        <v>6.3041119724286951E-3</v>
      </c>
      <c r="AK157" s="33">
        <f t="shared" si="12"/>
        <v>3.2346468380831046E-4</v>
      </c>
    </row>
    <row r="158" spans="1:37" x14ac:dyDescent="0.3">
      <c r="A158" t="s">
        <v>56</v>
      </c>
      <c r="B158" s="1">
        <v>2011</v>
      </c>
      <c r="C158" s="1" t="str">
        <f t="shared" si="10"/>
        <v>Kentucky, 2011</v>
      </c>
      <c r="D158" s="27">
        <v>99</v>
      </c>
      <c r="E158" s="27">
        <v>45</v>
      </c>
      <c r="F158" s="27">
        <v>49</v>
      </c>
      <c r="G158" s="27">
        <v>53</v>
      </c>
      <c r="H158" s="27">
        <v>47</v>
      </c>
      <c r="I158" s="27">
        <v>71</v>
      </c>
      <c r="J158" s="27">
        <v>91</v>
      </c>
      <c r="K158" s="27">
        <v>122</v>
      </c>
      <c r="L158" s="27">
        <v>256</v>
      </c>
      <c r="M158" s="27">
        <v>386</v>
      </c>
      <c r="N158" s="27">
        <v>41</v>
      </c>
      <c r="O158" s="28">
        <v>1260</v>
      </c>
      <c r="P158" s="29">
        <v>264456.00000000012</v>
      </c>
      <c r="Q158" s="30">
        <v>535310.57099999988</v>
      </c>
      <c r="R158" s="30">
        <v>552202.96199999994</v>
      </c>
      <c r="S158" s="30">
        <v>532092.17599999998</v>
      </c>
      <c r="T158" s="30">
        <v>553117.25900000019</v>
      </c>
      <c r="U158" s="30">
        <v>602136.08599999989</v>
      </c>
      <c r="V158" s="30">
        <v>498014.52099999989</v>
      </c>
      <c r="W158" s="30">
        <v>301628.16700000007</v>
      </c>
      <c r="X158" s="30">
        <v>172073.83000000002</v>
      </c>
      <c r="Y158" s="30">
        <v>67668.430000000022</v>
      </c>
      <c r="Z158" s="31">
        <v>4077379</v>
      </c>
      <c r="AA158" s="32">
        <f t="shared" si="11"/>
        <v>3.7435338959978203E-4</v>
      </c>
      <c r="AB158" s="32">
        <f t="shared" si="11"/>
        <v>8.4063350207967428E-5</v>
      </c>
      <c r="AC158" s="32">
        <f t="shared" si="11"/>
        <v>8.8735489252953346E-5</v>
      </c>
      <c r="AD158" s="32">
        <f t="shared" si="11"/>
        <v>9.9606801961320331E-5</v>
      </c>
      <c r="AE158" s="32">
        <f t="shared" si="11"/>
        <v>8.4972940611133564E-5</v>
      </c>
      <c r="AF158" s="32">
        <f t="shared" si="9"/>
        <v>1.1791354421498667E-4</v>
      </c>
      <c r="AG158" s="32">
        <f t="shared" si="9"/>
        <v>1.8272559566591436E-4</v>
      </c>
      <c r="AH158" s="32">
        <f t="shared" si="9"/>
        <v>4.0447150945289529E-4</v>
      </c>
      <c r="AI158" s="32">
        <f t="shared" si="9"/>
        <v>1.4877334920713973E-3</v>
      </c>
      <c r="AJ158" s="32">
        <f t="shared" si="9"/>
        <v>5.7042848489317673E-3</v>
      </c>
      <c r="AK158" s="33">
        <f t="shared" si="12"/>
        <v>3.0902204577989929E-4</v>
      </c>
    </row>
    <row r="159" spans="1:37" x14ac:dyDescent="0.3">
      <c r="A159" t="s">
        <v>56</v>
      </c>
      <c r="B159" s="1">
        <v>2012</v>
      </c>
      <c r="C159" s="1" t="str">
        <f t="shared" si="10"/>
        <v>Kentucky, 2012</v>
      </c>
      <c r="D159" s="27">
        <v>104</v>
      </c>
      <c r="E159" s="27">
        <v>47</v>
      </c>
      <c r="F159" s="27">
        <v>64</v>
      </c>
      <c r="G159" s="27">
        <v>50</v>
      </c>
      <c r="H159" s="27">
        <v>80</v>
      </c>
      <c r="I159" s="27">
        <v>66</v>
      </c>
      <c r="J159" s="27">
        <v>57</v>
      </c>
      <c r="K159" s="27">
        <v>108</v>
      </c>
      <c r="L159" s="27">
        <v>244</v>
      </c>
      <c r="M159" s="27">
        <v>357</v>
      </c>
      <c r="N159" s="27">
        <v>74</v>
      </c>
      <c r="O159" s="28">
        <v>1251</v>
      </c>
      <c r="P159" s="29">
        <v>270317.42500000005</v>
      </c>
      <c r="Q159" s="30">
        <v>547894.9809999998</v>
      </c>
      <c r="R159" s="30">
        <v>569809.52800000017</v>
      </c>
      <c r="S159" s="30">
        <v>544485.76199999999</v>
      </c>
      <c r="T159" s="30">
        <v>558871.49600000004</v>
      </c>
      <c r="U159" s="30">
        <v>613390.52199999976</v>
      </c>
      <c r="V159" s="30">
        <v>519946.28300000017</v>
      </c>
      <c r="W159" s="30">
        <v>318278.31600000017</v>
      </c>
      <c r="X159" s="30">
        <v>176345.30800000008</v>
      </c>
      <c r="Y159" s="30">
        <v>68823.537999999971</v>
      </c>
      <c r="Z159" s="31">
        <v>4188540</v>
      </c>
      <c r="AA159" s="32">
        <f t="shared" si="11"/>
        <v>3.8473287469351997E-4</v>
      </c>
      <c r="AB159" s="32">
        <f t="shared" si="11"/>
        <v>8.5782862829327544E-5</v>
      </c>
      <c r="AC159" s="32">
        <f t="shared" si="11"/>
        <v>1.1231823417315686E-4</v>
      </c>
      <c r="AD159" s="32">
        <f t="shared" si="11"/>
        <v>9.1829765789174116E-5</v>
      </c>
      <c r="AE159" s="32">
        <f t="shared" si="11"/>
        <v>1.4314560784112703E-4</v>
      </c>
      <c r="AF159" s="32">
        <f t="shared" si="9"/>
        <v>1.0759866289554443E-4</v>
      </c>
      <c r="AG159" s="32">
        <f t="shared" si="9"/>
        <v>1.0962670926527227E-4</v>
      </c>
      <c r="AH159" s="32">
        <f t="shared" si="9"/>
        <v>3.3932566112986453E-4</v>
      </c>
      <c r="AI159" s="32">
        <f t="shared" si="9"/>
        <v>1.3836489485731024E-3</v>
      </c>
      <c r="AJ159" s="32">
        <f t="shared" si="9"/>
        <v>5.1871788398905059E-3</v>
      </c>
      <c r="AK159" s="33">
        <f t="shared" si="12"/>
        <v>2.9867209099113297E-4</v>
      </c>
    </row>
    <row r="160" spans="1:37" x14ac:dyDescent="0.3">
      <c r="A160" t="s">
        <v>56</v>
      </c>
      <c r="B160" s="1">
        <v>2013</v>
      </c>
      <c r="C160" s="1" t="str">
        <f t="shared" si="10"/>
        <v>Kentucky, 2013</v>
      </c>
      <c r="D160" s="27">
        <v>101</v>
      </c>
      <c r="E160" s="27">
        <v>45</v>
      </c>
      <c r="F160" s="27">
        <v>29</v>
      </c>
      <c r="G160" s="27">
        <v>45</v>
      </c>
      <c r="H160" s="27">
        <v>53</v>
      </c>
      <c r="I160" s="27">
        <v>55</v>
      </c>
      <c r="J160" s="27">
        <v>60</v>
      </c>
      <c r="K160" s="27">
        <v>141</v>
      </c>
      <c r="L160" s="27">
        <v>225</v>
      </c>
      <c r="M160" s="27">
        <v>377</v>
      </c>
      <c r="N160" s="27">
        <v>42</v>
      </c>
      <c r="O160" s="28">
        <v>1173</v>
      </c>
      <c r="P160" s="29">
        <v>262180.58200000005</v>
      </c>
      <c r="Q160" s="30">
        <v>535663.75099999981</v>
      </c>
      <c r="R160" s="30">
        <v>559285.60100000026</v>
      </c>
      <c r="S160" s="30">
        <v>534184.65300000005</v>
      </c>
      <c r="T160" s="30">
        <v>535603.94300000009</v>
      </c>
      <c r="U160" s="30">
        <v>591388.78200000012</v>
      </c>
      <c r="V160" s="30">
        <v>517987.50200000009</v>
      </c>
      <c r="W160" s="30">
        <v>318289.97399999993</v>
      </c>
      <c r="X160" s="30">
        <v>172804.20200000002</v>
      </c>
      <c r="Y160" s="30">
        <v>68411.544000000038</v>
      </c>
      <c r="Z160" s="31">
        <v>4093856</v>
      </c>
      <c r="AA160" s="32">
        <f t="shared" si="11"/>
        <v>3.8523066517565357E-4</v>
      </c>
      <c r="AB160" s="32">
        <f t="shared" si="11"/>
        <v>8.4007924590738292E-5</v>
      </c>
      <c r="AC160" s="32">
        <f t="shared" si="11"/>
        <v>5.1851862354668389E-5</v>
      </c>
      <c r="AD160" s="32">
        <f t="shared" si="11"/>
        <v>8.424053320753114E-5</v>
      </c>
      <c r="AE160" s="32">
        <f t="shared" si="11"/>
        <v>9.8953715133497422E-5</v>
      </c>
      <c r="AF160" s="32">
        <f t="shared" si="9"/>
        <v>9.3001425921535304E-5</v>
      </c>
      <c r="AG160" s="32">
        <f t="shared" si="9"/>
        <v>1.1583291057860309E-4</v>
      </c>
      <c r="AH160" s="32">
        <f t="shared" si="9"/>
        <v>4.4299227596782559E-4</v>
      </c>
      <c r="AI160" s="32">
        <f t="shared" si="9"/>
        <v>1.3020516711740608E-3</v>
      </c>
      <c r="AJ160" s="32">
        <f t="shared" si="9"/>
        <v>5.5107658438464683E-3</v>
      </c>
      <c r="AK160" s="33">
        <f t="shared" si="12"/>
        <v>2.8652693206600332E-4</v>
      </c>
    </row>
    <row r="161" spans="1:37" x14ac:dyDescent="0.3">
      <c r="A161" t="s">
        <v>56</v>
      </c>
      <c r="B161" s="1">
        <v>2014</v>
      </c>
      <c r="C161" s="1" t="str">
        <f t="shared" si="10"/>
        <v>Kentucky, 2014</v>
      </c>
      <c r="D161" s="27">
        <v>125</v>
      </c>
      <c r="E161" s="27">
        <v>51</v>
      </c>
      <c r="F161" s="27">
        <v>50</v>
      </c>
      <c r="G161" s="27">
        <v>58</v>
      </c>
      <c r="H161" s="27">
        <v>72</v>
      </c>
      <c r="I161" s="27">
        <v>48</v>
      </c>
      <c r="J161" s="27">
        <v>90</v>
      </c>
      <c r="K161" s="27">
        <v>161</v>
      </c>
      <c r="L161" s="27">
        <v>257</v>
      </c>
      <c r="M161" s="27">
        <v>374</v>
      </c>
      <c r="N161" s="27">
        <v>51</v>
      </c>
      <c r="O161" s="28">
        <v>1337</v>
      </c>
      <c r="P161" s="29">
        <v>256945.07400000005</v>
      </c>
      <c r="Q161" s="30">
        <v>522422.39000000013</v>
      </c>
      <c r="R161" s="30">
        <v>550358.99700000021</v>
      </c>
      <c r="S161" s="30">
        <v>525752.36499999987</v>
      </c>
      <c r="T161" s="30">
        <v>518635.14000000013</v>
      </c>
      <c r="U161" s="30">
        <v>570656.1880000002</v>
      </c>
      <c r="V161" s="30">
        <v>516710.51399999997</v>
      </c>
      <c r="W161" s="30">
        <v>322933.06799999991</v>
      </c>
      <c r="X161" s="30">
        <v>171662.99100000001</v>
      </c>
      <c r="Y161" s="30">
        <v>69542.458999999988</v>
      </c>
      <c r="Z161" s="31">
        <v>4025542</v>
      </c>
      <c r="AA161" s="32">
        <f t="shared" si="11"/>
        <v>4.864852945186253E-4</v>
      </c>
      <c r="AB161" s="32">
        <f t="shared" si="11"/>
        <v>9.7622155895730253E-5</v>
      </c>
      <c r="AC161" s="32">
        <f t="shared" si="11"/>
        <v>9.0849791268152885E-5</v>
      </c>
      <c r="AD161" s="32">
        <f t="shared" si="11"/>
        <v>1.103180962390916E-4</v>
      </c>
      <c r="AE161" s="32">
        <f t="shared" si="11"/>
        <v>1.3882591912302739E-4</v>
      </c>
      <c r="AF161" s="32">
        <f t="shared" si="9"/>
        <v>8.4113694040937974E-5</v>
      </c>
      <c r="AG161" s="32">
        <f t="shared" si="9"/>
        <v>1.7417876656560544E-4</v>
      </c>
      <c r="AH161" s="32">
        <f t="shared" si="9"/>
        <v>4.9855532292530675E-4</v>
      </c>
      <c r="AI161" s="32">
        <f t="shared" si="9"/>
        <v>1.4971194344388418E-3</v>
      </c>
      <c r="AJ161" s="32">
        <f t="shared" si="9"/>
        <v>5.3780094258674407E-3</v>
      </c>
      <c r="AK161" s="33">
        <f t="shared" si="12"/>
        <v>3.3212918906323671E-4</v>
      </c>
    </row>
    <row r="162" spans="1:37" x14ac:dyDescent="0.3">
      <c r="A162" t="s">
        <v>56</v>
      </c>
      <c r="B162" s="1">
        <v>2015</v>
      </c>
      <c r="C162" s="1" t="str">
        <f t="shared" si="10"/>
        <v>Kentucky, 2015</v>
      </c>
      <c r="D162" s="27">
        <v>129</v>
      </c>
      <c r="E162" s="27">
        <v>69</v>
      </c>
      <c r="F162" s="27">
        <v>53</v>
      </c>
      <c r="G162" s="27">
        <v>56</v>
      </c>
      <c r="H162" s="27">
        <v>53</v>
      </c>
      <c r="I162" s="27">
        <v>49</v>
      </c>
      <c r="J162" s="27">
        <v>97</v>
      </c>
      <c r="K162" s="27">
        <v>163</v>
      </c>
      <c r="L162" s="27">
        <v>235</v>
      </c>
      <c r="M162" s="27">
        <v>390</v>
      </c>
      <c r="N162" s="27">
        <v>53</v>
      </c>
      <c r="O162" s="28">
        <v>1347</v>
      </c>
      <c r="P162" s="29">
        <v>261231.11599999998</v>
      </c>
      <c r="Q162" s="30">
        <v>535001.66700000013</v>
      </c>
      <c r="R162" s="30">
        <v>563854.55700000003</v>
      </c>
      <c r="S162" s="30">
        <v>530545.35500000021</v>
      </c>
      <c r="T162" s="30">
        <v>526963.75500000012</v>
      </c>
      <c r="U162" s="30">
        <v>579208.06299999997</v>
      </c>
      <c r="V162" s="30">
        <v>537400.88899999985</v>
      </c>
      <c r="W162" s="30">
        <v>347494.54400000017</v>
      </c>
      <c r="X162" s="30">
        <v>178017.39699999997</v>
      </c>
      <c r="Y162" s="30">
        <v>71394.195999999996</v>
      </c>
      <c r="Z162" s="31">
        <v>4131633</v>
      </c>
      <c r="AA162" s="32">
        <f t="shared" si="11"/>
        <v>4.938155989043817E-4</v>
      </c>
      <c r="AB162" s="32">
        <f t="shared" si="11"/>
        <v>1.2897156075590319E-4</v>
      </c>
      <c r="AC162" s="32">
        <f t="shared" si="11"/>
        <v>9.3995870640804267E-5</v>
      </c>
      <c r="AD162" s="32">
        <f t="shared" si="11"/>
        <v>1.05551767576968E-4</v>
      </c>
      <c r="AE162" s="32">
        <f t="shared" si="11"/>
        <v>1.0057617719837295E-4</v>
      </c>
      <c r="AF162" s="32">
        <f t="shared" si="9"/>
        <v>8.4598269827607705E-5</v>
      </c>
      <c r="AG162" s="32">
        <f t="shared" si="9"/>
        <v>1.8049839884057213E-4</v>
      </c>
      <c r="AH162" s="32">
        <f t="shared" si="9"/>
        <v>4.6907211297107424E-4</v>
      </c>
      <c r="AI162" s="32">
        <f t="shared" si="9"/>
        <v>1.3200956982872861E-3</v>
      </c>
      <c r="AJ162" s="32">
        <f t="shared" si="9"/>
        <v>5.4626289229449407E-3</v>
      </c>
      <c r="AK162" s="33">
        <f t="shared" si="12"/>
        <v>3.2602121243585771E-4</v>
      </c>
    </row>
    <row r="163" spans="1:37" x14ac:dyDescent="0.3">
      <c r="A163" t="s">
        <v>56</v>
      </c>
      <c r="B163" s="1">
        <v>2016</v>
      </c>
      <c r="C163" s="1" t="str">
        <f t="shared" si="10"/>
        <v>Kentucky, 2016</v>
      </c>
      <c r="D163" s="27">
        <v>106</v>
      </c>
      <c r="E163" s="27">
        <v>59</v>
      </c>
      <c r="F163" s="27">
        <v>36</v>
      </c>
      <c r="G163" s="27">
        <v>63</v>
      </c>
      <c r="H163" s="27">
        <v>45</v>
      </c>
      <c r="I163" s="27">
        <v>40</v>
      </c>
      <c r="J163" s="27">
        <v>83</v>
      </c>
      <c r="K163" s="27">
        <v>169</v>
      </c>
      <c r="L163" s="27">
        <v>219</v>
      </c>
      <c r="M163" s="27">
        <v>318</v>
      </c>
      <c r="N163" s="27">
        <v>47</v>
      </c>
      <c r="O163" s="28">
        <v>1185</v>
      </c>
      <c r="P163" s="29">
        <v>251619.62799999991</v>
      </c>
      <c r="Q163" s="30">
        <v>519005.84800000006</v>
      </c>
      <c r="R163" s="30">
        <v>551440.27099999983</v>
      </c>
      <c r="S163" s="30">
        <v>524830.93399999989</v>
      </c>
      <c r="T163" s="30">
        <v>514007.75000000023</v>
      </c>
      <c r="U163" s="30">
        <v>558985.19799999986</v>
      </c>
      <c r="V163" s="30">
        <v>530161.19500000007</v>
      </c>
      <c r="W163" s="30">
        <v>353672.86399999994</v>
      </c>
      <c r="X163" s="30">
        <v>178178.37399999998</v>
      </c>
      <c r="Y163" s="30">
        <v>70543.092999999993</v>
      </c>
      <c r="Z163" s="31">
        <v>4052262</v>
      </c>
      <c r="AA163" s="32">
        <f t="shared" si="11"/>
        <v>4.212707921180141E-4</v>
      </c>
      <c r="AB163" s="32">
        <f t="shared" si="11"/>
        <v>1.136788732291895E-4</v>
      </c>
      <c r="AC163" s="32">
        <f t="shared" si="11"/>
        <v>6.5283588981842808E-5</v>
      </c>
      <c r="AD163" s="32">
        <f t="shared" si="11"/>
        <v>1.2003865610558697E-4</v>
      </c>
      <c r="AE163" s="32">
        <f t="shared" si="11"/>
        <v>8.754731810950317E-5</v>
      </c>
      <c r="AF163" s="32">
        <f t="shared" si="9"/>
        <v>7.1558245447493962E-5</v>
      </c>
      <c r="AG163" s="32">
        <f t="shared" si="9"/>
        <v>1.5655615835859126E-4</v>
      </c>
      <c r="AH163" s="32">
        <f t="shared" si="9"/>
        <v>4.7784271060162542E-4</v>
      </c>
      <c r="AI163" s="32">
        <f t="shared" si="9"/>
        <v>1.229105390758589E-3</v>
      </c>
      <c r="AJ163" s="32">
        <f t="shared" si="9"/>
        <v>4.5078828624653591E-3</v>
      </c>
      <c r="AK163" s="33">
        <f t="shared" si="12"/>
        <v>2.9242926543249177E-4</v>
      </c>
    </row>
    <row r="164" spans="1:37" x14ac:dyDescent="0.3">
      <c r="A164" t="s">
        <v>56</v>
      </c>
      <c r="B164" s="1">
        <v>2017</v>
      </c>
      <c r="C164" s="1" t="str">
        <f t="shared" si="10"/>
        <v>Kentucky, 2017</v>
      </c>
      <c r="D164" s="27">
        <v>82</v>
      </c>
      <c r="E164" s="27">
        <v>52</v>
      </c>
      <c r="F164" s="27">
        <v>60</v>
      </c>
      <c r="G164" s="27">
        <v>64</v>
      </c>
      <c r="H164" s="27">
        <v>60</v>
      </c>
      <c r="I164" s="27">
        <v>59</v>
      </c>
      <c r="J164" s="27">
        <v>76</v>
      </c>
      <c r="K164" s="27">
        <v>146</v>
      </c>
      <c r="L164" s="27">
        <v>270</v>
      </c>
      <c r="M164" s="27">
        <v>328</v>
      </c>
      <c r="N164" s="27">
        <v>72</v>
      </c>
      <c r="O164" s="28">
        <v>1269</v>
      </c>
      <c r="P164" s="29">
        <v>241185</v>
      </c>
      <c r="Q164" s="30">
        <v>495590</v>
      </c>
      <c r="R164" s="30">
        <v>527596</v>
      </c>
      <c r="S164" s="30">
        <v>505998</v>
      </c>
      <c r="T164" s="30">
        <v>485964</v>
      </c>
      <c r="U164" s="30">
        <v>522675</v>
      </c>
      <c r="V164" s="30">
        <v>510693</v>
      </c>
      <c r="W164" s="30">
        <v>348130</v>
      </c>
      <c r="X164" s="30">
        <v>174322</v>
      </c>
      <c r="Y164" s="30">
        <v>70167</v>
      </c>
      <c r="Z164" s="31">
        <v>3882320</v>
      </c>
      <c r="AA164" s="32">
        <f t="shared" si="11"/>
        <v>3.3998797603499386E-4</v>
      </c>
      <c r="AB164" s="32">
        <f t="shared" si="11"/>
        <v>1.0492544240198552E-4</v>
      </c>
      <c r="AC164" s="32">
        <f t="shared" si="11"/>
        <v>1.1372337925230669E-4</v>
      </c>
      <c r="AD164" s="32">
        <f t="shared" si="11"/>
        <v>1.2648271337040859E-4</v>
      </c>
      <c r="AE164" s="32">
        <f t="shared" si="11"/>
        <v>1.2346593574832703E-4</v>
      </c>
      <c r="AF164" s="32">
        <f t="shared" si="9"/>
        <v>1.1288085330272158E-4</v>
      </c>
      <c r="AG164" s="32">
        <f t="shared" si="9"/>
        <v>1.4881739127029349E-4</v>
      </c>
      <c r="AH164" s="32">
        <f t="shared" si="9"/>
        <v>4.1938356361129463E-4</v>
      </c>
      <c r="AI164" s="32">
        <f t="shared" si="9"/>
        <v>1.5488578607404688E-3</v>
      </c>
      <c r="AJ164" s="32">
        <f t="shared" si="9"/>
        <v>4.6745621160944606E-3</v>
      </c>
      <c r="AK164" s="33">
        <f t="shared" si="12"/>
        <v>3.2686640977559809E-4</v>
      </c>
    </row>
    <row r="165" spans="1:37" x14ac:dyDescent="0.3">
      <c r="A165" t="s">
        <v>57</v>
      </c>
      <c r="B165" s="1">
        <v>2009</v>
      </c>
      <c r="C165" s="1" t="str">
        <f t="shared" si="10"/>
        <v>Louisiana, 2009</v>
      </c>
      <c r="D165" s="27">
        <v>101</v>
      </c>
      <c r="E165" s="27">
        <v>60</v>
      </c>
      <c r="F165" s="27">
        <v>80</v>
      </c>
      <c r="G165" s="27">
        <v>62</v>
      </c>
      <c r="H165" s="27">
        <v>61</v>
      </c>
      <c r="I165" s="27">
        <v>47</v>
      </c>
      <c r="J165" s="27">
        <v>69</v>
      </c>
      <c r="K165" s="27">
        <v>117</v>
      </c>
      <c r="L165" s="27">
        <v>243</v>
      </c>
      <c r="M165" s="27">
        <v>345</v>
      </c>
      <c r="N165" s="27">
        <v>51</v>
      </c>
      <c r="O165" s="28">
        <v>1236</v>
      </c>
      <c r="P165" s="29">
        <v>310127.76799999992</v>
      </c>
      <c r="Q165" s="30">
        <v>609297.69199999992</v>
      </c>
      <c r="R165" s="30">
        <v>677687.76299999992</v>
      </c>
      <c r="S165" s="30">
        <v>583926.93599999999</v>
      </c>
      <c r="T165" s="30">
        <v>587606.02100000007</v>
      </c>
      <c r="U165" s="30">
        <v>634345.1320000001</v>
      </c>
      <c r="V165" s="30">
        <v>474919.62600000011</v>
      </c>
      <c r="W165" s="30">
        <v>286259.62800000008</v>
      </c>
      <c r="X165" s="30">
        <v>183083.84800000003</v>
      </c>
      <c r="Y165" s="30">
        <v>65448.53</v>
      </c>
      <c r="Z165" s="31">
        <v>4411546</v>
      </c>
      <c r="AA165" s="32">
        <f t="shared" si="11"/>
        <v>3.2567222422985365E-4</v>
      </c>
      <c r="AB165" s="32">
        <f t="shared" si="11"/>
        <v>9.8474031311446375E-5</v>
      </c>
      <c r="AC165" s="32">
        <f t="shared" si="11"/>
        <v>1.1804846474703131E-4</v>
      </c>
      <c r="AD165" s="32">
        <f t="shared" si="11"/>
        <v>1.0617766740597834E-4</v>
      </c>
      <c r="AE165" s="32">
        <f t="shared" si="11"/>
        <v>1.0381105335882865E-4</v>
      </c>
      <c r="AF165" s="32">
        <f t="shared" si="9"/>
        <v>7.4092158399349065E-5</v>
      </c>
      <c r="AG165" s="32">
        <f t="shared" si="9"/>
        <v>1.452877418041258E-4</v>
      </c>
      <c r="AH165" s="32">
        <f t="shared" si="9"/>
        <v>4.0871987718785121E-4</v>
      </c>
      <c r="AI165" s="32">
        <f t="shared" si="9"/>
        <v>1.3272607204541603E-3</v>
      </c>
      <c r="AJ165" s="32">
        <f t="shared" si="9"/>
        <v>5.2713177820800563E-3</v>
      </c>
      <c r="AK165" s="33">
        <f t="shared" si="12"/>
        <v>2.8017388915359829E-4</v>
      </c>
    </row>
    <row r="166" spans="1:37" x14ac:dyDescent="0.3">
      <c r="A166" t="s">
        <v>57</v>
      </c>
      <c r="B166" s="1">
        <v>2010</v>
      </c>
      <c r="C166" s="1" t="str">
        <f t="shared" si="10"/>
        <v>Louisiana, 2010</v>
      </c>
      <c r="D166" s="27">
        <v>105</v>
      </c>
      <c r="E166" s="27">
        <v>48</v>
      </c>
      <c r="F166" s="27">
        <v>45</v>
      </c>
      <c r="G166" s="27">
        <v>42</v>
      </c>
      <c r="H166" s="27">
        <v>63</v>
      </c>
      <c r="I166" s="27">
        <v>63</v>
      </c>
      <c r="J166" s="27">
        <v>47</v>
      </c>
      <c r="K166" s="27">
        <v>137</v>
      </c>
      <c r="L166" s="27">
        <v>247</v>
      </c>
      <c r="M166" s="27">
        <v>338</v>
      </c>
      <c r="N166" s="27">
        <v>61</v>
      </c>
      <c r="O166" s="28">
        <v>1196</v>
      </c>
      <c r="P166" s="29">
        <v>304418.304</v>
      </c>
      <c r="Q166" s="30">
        <v>605905.22199999995</v>
      </c>
      <c r="R166" s="30">
        <v>660273.3629999999</v>
      </c>
      <c r="S166" s="30">
        <v>589553.32799999986</v>
      </c>
      <c r="T166" s="30">
        <v>581385.93699999969</v>
      </c>
      <c r="U166" s="30">
        <v>645967.60800000001</v>
      </c>
      <c r="V166" s="30">
        <v>499466.83899999998</v>
      </c>
      <c r="W166" s="30">
        <v>294815.85499999986</v>
      </c>
      <c r="X166" s="30">
        <v>176704.43499999991</v>
      </c>
      <c r="Y166" s="30">
        <v>63576.682000000001</v>
      </c>
      <c r="Z166" s="31">
        <v>4421318</v>
      </c>
      <c r="AA166" s="32">
        <f t="shared" si="11"/>
        <v>3.4492012674770041E-4</v>
      </c>
      <c r="AB166" s="32">
        <f t="shared" si="11"/>
        <v>7.922031079639714E-5</v>
      </c>
      <c r="AC166" s="32">
        <f t="shared" si="11"/>
        <v>6.8153589894251132E-5</v>
      </c>
      <c r="AD166" s="32">
        <f t="shared" si="11"/>
        <v>7.1240374712972553E-5</v>
      </c>
      <c r="AE166" s="32">
        <f t="shared" si="11"/>
        <v>1.0836175419908727E-4</v>
      </c>
      <c r="AF166" s="32">
        <f t="shared" si="9"/>
        <v>9.7528110109199162E-5</v>
      </c>
      <c r="AG166" s="32">
        <f t="shared" si="9"/>
        <v>9.4100341264097422E-5</v>
      </c>
      <c r="AH166" s="32">
        <f t="shared" si="9"/>
        <v>4.6469685288805132E-4</v>
      </c>
      <c r="AI166" s="32">
        <f t="shared" si="9"/>
        <v>1.397814378569503E-3</v>
      </c>
      <c r="AJ166" s="32">
        <f t="shared" si="9"/>
        <v>5.3164145936398502E-3</v>
      </c>
      <c r="AK166" s="33">
        <f t="shared" si="12"/>
        <v>2.7050757262879531E-4</v>
      </c>
    </row>
    <row r="167" spans="1:37" x14ac:dyDescent="0.3">
      <c r="A167" t="s">
        <v>57</v>
      </c>
      <c r="B167" s="1">
        <v>2011</v>
      </c>
      <c r="C167" s="1" t="str">
        <f t="shared" si="10"/>
        <v>Louisiana, 2011</v>
      </c>
      <c r="D167" s="27">
        <v>75</v>
      </c>
      <c r="E167" s="27">
        <v>65</v>
      </c>
      <c r="F167" s="27">
        <v>41</v>
      </c>
      <c r="G167" s="27">
        <v>62</v>
      </c>
      <c r="H167" s="27">
        <v>60</v>
      </c>
      <c r="I167" s="27">
        <v>38</v>
      </c>
      <c r="J167" s="27">
        <v>83</v>
      </c>
      <c r="K167" s="27">
        <v>80</v>
      </c>
      <c r="L167" s="27">
        <v>242</v>
      </c>
      <c r="M167" s="27">
        <v>341</v>
      </c>
      <c r="N167" s="27">
        <v>62</v>
      </c>
      <c r="O167" s="28">
        <v>1149</v>
      </c>
      <c r="P167" s="29">
        <v>309364.402</v>
      </c>
      <c r="Q167" s="30">
        <v>607345.45700000005</v>
      </c>
      <c r="R167" s="30">
        <v>662599.36600000004</v>
      </c>
      <c r="S167" s="30">
        <v>604772.47799999977</v>
      </c>
      <c r="T167" s="30">
        <v>570272.44799999997</v>
      </c>
      <c r="U167" s="30">
        <v>647143.67300000007</v>
      </c>
      <c r="V167" s="30">
        <v>517625.33299999998</v>
      </c>
      <c r="W167" s="30">
        <v>302953.02799999993</v>
      </c>
      <c r="X167" s="30">
        <v>178119.12700000009</v>
      </c>
      <c r="Y167" s="30">
        <v>65560.430999999997</v>
      </c>
      <c r="Z167" s="31">
        <v>4465332</v>
      </c>
      <c r="AA167" s="32">
        <f t="shared" si="11"/>
        <v>2.4243254723276144E-4</v>
      </c>
      <c r="AB167" s="32">
        <f t="shared" si="11"/>
        <v>1.0702311057214345E-4</v>
      </c>
      <c r="AC167" s="32">
        <f t="shared" si="11"/>
        <v>6.1877511666680343E-5</v>
      </c>
      <c r="AD167" s="32">
        <f t="shared" si="11"/>
        <v>1.0251789268757038E-4</v>
      </c>
      <c r="AE167" s="32">
        <f t="shared" si="11"/>
        <v>1.0521286835866916E-4</v>
      </c>
      <c r="AF167" s="32">
        <f t="shared" si="9"/>
        <v>5.8719572770975693E-5</v>
      </c>
      <c r="AG167" s="32">
        <f t="shared" si="9"/>
        <v>1.6034763893597921E-4</v>
      </c>
      <c r="AH167" s="32">
        <f t="shared" si="9"/>
        <v>2.6406733917840231E-4</v>
      </c>
      <c r="AI167" s="32">
        <f t="shared" si="9"/>
        <v>1.3586412872998185E-3</v>
      </c>
      <c r="AJ167" s="32">
        <f t="shared" si="9"/>
        <v>5.2013080878007042E-3</v>
      </c>
      <c r="AK167" s="33">
        <f t="shared" si="12"/>
        <v>2.5731569343556091E-4</v>
      </c>
    </row>
    <row r="168" spans="1:37" x14ac:dyDescent="0.3">
      <c r="A168" t="s">
        <v>57</v>
      </c>
      <c r="B168" s="1">
        <v>2012</v>
      </c>
      <c r="C168" s="1" t="str">
        <f t="shared" si="10"/>
        <v>Louisiana, 2012</v>
      </c>
      <c r="D168" s="27">
        <v>145</v>
      </c>
      <c r="E168" s="27">
        <v>65</v>
      </c>
      <c r="F168" s="27">
        <v>67</v>
      </c>
      <c r="G168" s="27">
        <v>55</v>
      </c>
      <c r="H168" s="27">
        <v>75</v>
      </c>
      <c r="I168" s="27">
        <v>51</v>
      </c>
      <c r="J168" s="27">
        <v>59</v>
      </c>
      <c r="K168" s="27">
        <v>94</v>
      </c>
      <c r="L168" s="27">
        <v>212</v>
      </c>
      <c r="M168" s="27">
        <v>313</v>
      </c>
      <c r="N168" s="27">
        <v>41</v>
      </c>
      <c r="O168" s="28">
        <v>1177</v>
      </c>
      <c r="P168" s="29">
        <v>301725.13200000004</v>
      </c>
      <c r="Q168" s="30">
        <v>596327.64900000009</v>
      </c>
      <c r="R168" s="30">
        <v>642548.63600000006</v>
      </c>
      <c r="S168" s="30">
        <v>600309.05900000001</v>
      </c>
      <c r="T168" s="30">
        <v>553916.20999999985</v>
      </c>
      <c r="U168" s="30">
        <v>627819.60400000017</v>
      </c>
      <c r="V168" s="30">
        <v>520435.72899999993</v>
      </c>
      <c r="W168" s="30">
        <v>304951.08100000006</v>
      </c>
      <c r="X168" s="30">
        <v>172251.49099999998</v>
      </c>
      <c r="Y168" s="30">
        <v>64695.412999999986</v>
      </c>
      <c r="Z168" s="31">
        <v>4385141</v>
      </c>
      <c r="AA168" s="32">
        <f t="shared" si="11"/>
        <v>4.8056984527228568E-4</v>
      </c>
      <c r="AB168" s="32">
        <f t="shared" si="11"/>
        <v>1.0900048003643713E-4</v>
      </c>
      <c r="AC168" s="32">
        <f t="shared" si="11"/>
        <v>1.0427226243462136E-4</v>
      </c>
      <c r="AD168" s="32">
        <f t="shared" si="11"/>
        <v>9.1619473628499747E-5</v>
      </c>
      <c r="AE168" s="32">
        <f t="shared" si="11"/>
        <v>1.3539953994124855E-4</v>
      </c>
      <c r="AF168" s="32">
        <f t="shared" si="9"/>
        <v>8.1233525801147156E-5</v>
      </c>
      <c r="AG168" s="32">
        <f t="shared" si="9"/>
        <v>1.1336654405600966E-4</v>
      </c>
      <c r="AH168" s="32">
        <f t="shared" si="9"/>
        <v>3.0824616096376448E-4</v>
      </c>
      <c r="AI168" s="32">
        <f t="shared" si="9"/>
        <v>1.2307585772944052E-3</v>
      </c>
      <c r="AJ168" s="32">
        <f t="shared" si="9"/>
        <v>4.8380555202576737E-3</v>
      </c>
      <c r="AK168" s="33">
        <f t="shared" si="12"/>
        <v>2.6840642068293814E-4</v>
      </c>
    </row>
    <row r="169" spans="1:37" x14ac:dyDescent="0.3">
      <c r="A169" t="s">
        <v>57</v>
      </c>
      <c r="B169" s="1">
        <v>2013</v>
      </c>
      <c r="C169" s="1" t="str">
        <f t="shared" si="10"/>
        <v>Louisiana, 2013</v>
      </c>
      <c r="D169" s="27">
        <v>135</v>
      </c>
      <c r="E169" s="27">
        <v>51</v>
      </c>
      <c r="F169" s="27">
        <v>45</v>
      </c>
      <c r="G169" s="27">
        <v>73</v>
      </c>
      <c r="H169" s="27">
        <v>55</v>
      </c>
      <c r="I169" s="27">
        <v>57</v>
      </c>
      <c r="J169" s="27">
        <v>107</v>
      </c>
      <c r="K169" s="27">
        <v>125</v>
      </c>
      <c r="L169" s="27">
        <v>189</v>
      </c>
      <c r="M169" s="27">
        <v>344</v>
      </c>
      <c r="N169" s="27">
        <v>37</v>
      </c>
      <c r="O169" s="28">
        <v>1218</v>
      </c>
      <c r="P169" s="29">
        <v>295242.51599999995</v>
      </c>
      <c r="Q169" s="30">
        <v>582971.73800000001</v>
      </c>
      <c r="R169" s="30">
        <v>627558.06199999992</v>
      </c>
      <c r="S169" s="30">
        <v>607574.78899999987</v>
      </c>
      <c r="T169" s="30">
        <v>535720.27599999972</v>
      </c>
      <c r="U169" s="30">
        <v>606604.34599999979</v>
      </c>
      <c r="V169" s="30">
        <v>524126.60500000016</v>
      </c>
      <c r="W169" s="30">
        <v>309555.75699999993</v>
      </c>
      <c r="X169" s="30">
        <v>171880.33899999998</v>
      </c>
      <c r="Y169" s="30">
        <v>64938.582000000002</v>
      </c>
      <c r="Z169" s="31">
        <v>4324933</v>
      </c>
      <c r="AA169" s="32">
        <f t="shared" si="11"/>
        <v>4.5725121784289367E-4</v>
      </c>
      <c r="AB169" s="32">
        <f t="shared" si="11"/>
        <v>8.7482800066716098E-5</v>
      </c>
      <c r="AC169" s="32">
        <f t="shared" si="11"/>
        <v>7.1706512472466665E-5</v>
      </c>
      <c r="AD169" s="32">
        <f t="shared" si="11"/>
        <v>1.2014981747374646E-4</v>
      </c>
      <c r="AE169" s="32">
        <f t="shared" si="11"/>
        <v>1.0266551867452563E-4</v>
      </c>
      <c r="AF169" s="32">
        <f t="shared" si="9"/>
        <v>9.3965696711312421E-5</v>
      </c>
      <c r="AG169" s="32">
        <f t="shared" si="9"/>
        <v>2.0414914827687476E-4</v>
      </c>
      <c r="AH169" s="32">
        <f t="shared" si="9"/>
        <v>4.0380447519830823E-4</v>
      </c>
      <c r="AI169" s="32">
        <f t="shared" si="9"/>
        <v>1.0996022063931351E-3</v>
      </c>
      <c r="AJ169" s="32">
        <f t="shared" si="9"/>
        <v>5.2973130826909649E-3</v>
      </c>
      <c r="AK169" s="33">
        <f t="shared" si="12"/>
        <v>2.8162285982233712E-4</v>
      </c>
    </row>
    <row r="170" spans="1:37" x14ac:dyDescent="0.3">
      <c r="A170" t="s">
        <v>57</v>
      </c>
      <c r="B170" s="1">
        <v>2014</v>
      </c>
      <c r="C170" s="1" t="str">
        <f t="shared" si="10"/>
        <v>Louisiana, 2014</v>
      </c>
      <c r="D170" s="27">
        <v>100</v>
      </c>
      <c r="E170" s="27">
        <v>66</v>
      </c>
      <c r="F170" s="27">
        <v>62</v>
      </c>
      <c r="G170" s="27">
        <v>60</v>
      </c>
      <c r="H170" s="27">
        <v>57</v>
      </c>
      <c r="I170" s="27">
        <v>84</v>
      </c>
      <c r="J170" s="27">
        <v>119</v>
      </c>
      <c r="K170" s="27">
        <v>132</v>
      </c>
      <c r="L170" s="27">
        <v>178</v>
      </c>
      <c r="M170" s="27">
        <v>292</v>
      </c>
      <c r="N170" s="27">
        <v>37</v>
      </c>
      <c r="O170" s="28">
        <v>1187</v>
      </c>
      <c r="P170" s="29">
        <v>297689.652</v>
      </c>
      <c r="Q170" s="30">
        <v>596220.46</v>
      </c>
      <c r="R170" s="30">
        <v>636996.57300000021</v>
      </c>
      <c r="S170" s="30">
        <v>626559.33799999987</v>
      </c>
      <c r="T170" s="30">
        <v>549863.29200000002</v>
      </c>
      <c r="U170" s="30">
        <v>613156.98399999982</v>
      </c>
      <c r="V170" s="30">
        <v>553966.5419999999</v>
      </c>
      <c r="W170" s="30">
        <v>334480.46999999997</v>
      </c>
      <c r="X170" s="30">
        <v>181556.95400000006</v>
      </c>
      <c r="Y170" s="30">
        <v>69650.364000000016</v>
      </c>
      <c r="Z170" s="31">
        <v>4459450</v>
      </c>
      <c r="AA170" s="32">
        <f t="shared" si="11"/>
        <v>3.3592030938314239E-4</v>
      </c>
      <c r="AB170" s="32">
        <f t="shared" si="11"/>
        <v>1.1069730817355715E-4</v>
      </c>
      <c r="AC170" s="32">
        <f t="shared" si="11"/>
        <v>9.7331763824104559E-5</v>
      </c>
      <c r="AD170" s="32">
        <f t="shared" si="11"/>
        <v>9.5761081770039816E-5</v>
      </c>
      <c r="AE170" s="32">
        <f t="shared" si="11"/>
        <v>1.0366212989537043E-4</v>
      </c>
      <c r="AF170" s="32">
        <f t="shared" si="9"/>
        <v>1.3699591163753266E-4</v>
      </c>
      <c r="AG170" s="32">
        <f t="shared" si="9"/>
        <v>2.1481441743822864E-4</v>
      </c>
      <c r="AH170" s="32">
        <f t="shared" si="9"/>
        <v>3.9464187550322449E-4</v>
      </c>
      <c r="AI170" s="32">
        <f t="shared" si="9"/>
        <v>9.8040860500446568E-4</v>
      </c>
      <c r="AJ170" s="32">
        <f t="shared" si="9"/>
        <v>4.1923686141826901E-3</v>
      </c>
      <c r="AK170" s="33">
        <f t="shared" si="12"/>
        <v>2.6617632219219861E-4</v>
      </c>
    </row>
    <row r="171" spans="1:37" x14ac:dyDescent="0.3">
      <c r="A171" t="s">
        <v>57</v>
      </c>
      <c r="B171" s="1">
        <v>2015</v>
      </c>
      <c r="C171" s="1" t="str">
        <f t="shared" si="10"/>
        <v>Louisiana, 2015</v>
      </c>
      <c r="D171" s="27">
        <v>109</v>
      </c>
      <c r="E171" s="27">
        <v>64</v>
      </c>
      <c r="F171" s="27">
        <v>51</v>
      </c>
      <c r="G171" s="27">
        <v>55</v>
      </c>
      <c r="H171" s="27">
        <v>63</v>
      </c>
      <c r="I171" s="27">
        <v>64</v>
      </c>
      <c r="J171" s="27">
        <v>58</v>
      </c>
      <c r="K171" s="27">
        <v>101</v>
      </c>
      <c r="L171" s="27">
        <v>185</v>
      </c>
      <c r="M171" s="27">
        <v>291</v>
      </c>
      <c r="N171" s="27">
        <v>50</v>
      </c>
      <c r="O171" s="28">
        <v>1091</v>
      </c>
      <c r="P171" s="29">
        <v>294162.66799999989</v>
      </c>
      <c r="Q171" s="30">
        <v>585729.50199999986</v>
      </c>
      <c r="R171" s="30">
        <v>619304.8979999997</v>
      </c>
      <c r="S171" s="30">
        <v>623092.20499999984</v>
      </c>
      <c r="T171" s="30">
        <v>534897.91399999999</v>
      </c>
      <c r="U171" s="30">
        <v>590686.049</v>
      </c>
      <c r="V171" s="30">
        <v>553458.88800000004</v>
      </c>
      <c r="W171" s="30">
        <v>337856.78600000002</v>
      </c>
      <c r="X171" s="30">
        <v>177593.58900000001</v>
      </c>
      <c r="Y171" s="30">
        <v>68661.747999999992</v>
      </c>
      <c r="Z171" s="31">
        <v>4387762</v>
      </c>
      <c r="AA171" s="32">
        <f t="shared" si="11"/>
        <v>3.7054328049540276E-4</v>
      </c>
      <c r="AB171" s="32">
        <f t="shared" si="11"/>
        <v>1.0926545407303048E-4</v>
      </c>
      <c r="AC171" s="32">
        <f t="shared" si="11"/>
        <v>8.2350390195040933E-5</v>
      </c>
      <c r="AD171" s="32">
        <f t="shared" si="11"/>
        <v>8.8269439994037506E-5</v>
      </c>
      <c r="AE171" s="32">
        <f t="shared" si="11"/>
        <v>1.1777948343242183E-4</v>
      </c>
      <c r="AF171" s="32">
        <f t="shared" si="9"/>
        <v>1.0834858908272608E-4</v>
      </c>
      <c r="AG171" s="32">
        <f t="shared" si="9"/>
        <v>1.0479549837855345E-4</v>
      </c>
      <c r="AH171" s="32">
        <f t="shared" si="9"/>
        <v>2.9894323330240878E-4</v>
      </c>
      <c r="AI171" s="32">
        <f t="shared" si="9"/>
        <v>1.0417042700792537E-3</v>
      </c>
      <c r="AJ171" s="32">
        <f t="shared" si="9"/>
        <v>4.2381676621457412E-3</v>
      </c>
      <c r="AK171" s="33">
        <f t="shared" si="12"/>
        <v>2.4864612073307533E-4</v>
      </c>
    </row>
    <row r="172" spans="1:37" x14ac:dyDescent="0.3">
      <c r="A172" t="s">
        <v>57</v>
      </c>
      <c r="B172" s="1">
        <v>2016</v>
      </c>
      <c r="C172" s="1" t="str">
        <f t="shared" si="10"/>
        <v>Louisiana, 2016</v>
      </c>
      <c r="D172" s="27">
        <v>119</v>
      </c>
      <c r="E172" s="27">
        <v>46</v>
      </c>
      <c r="F172" s="27">
        <v>53</v>
      </c>
      <c r="G172" s="27">
        <v>57</v>
      </c>
      <c r="H172" s="27">
        <v>29</v>
      </c>
      <c r="I172" s="27">
        <v>34</v>
      </c>
      <c r="J172" s="27">
        <v>67</v>
      </c>
      <c r="K172" s="27">
        <v>96</v>
      </c>
      <c r="L172" s="27">
        <v>176</v>
      </c>
      <c r="M172" s="27">
        <v>253</v>
      </c>
      <c r="N172" s="27">
        <v>44</v>
      </c>
      <c r="O172" s="28">
        <v>974</v>
      </c>
      <c r="P172" s="29">
        <v>291021.30200000008</v>
      </c>
      <c r="Q172" s="30">
        <v>588102.42500000028</v>
      </c>
      <c r="R172" s="30">
        <v>615325.05399999989</v>
      </c>
      <c r="S172" s="30">
        <v>623051.78899999999</v>
      </c>
      <c r="T172" s="30">
        <v>538766.3879999998</v>
      </c>
      <c r="U172" s="30">
        <v>585224.2309999998</v>
      </c>
      <c r="V172" s="30">
        <v>577561.14399999974</v>
      </c>
      <c r="W172" s="30">
        <v>381719.56099999993</v>
      </c>
      <c r="X172" s="30">
        <v>193035.66199999998</v>
      </c>
      <c r="Y172" s="30">
        <v>75352.874000000011</v>
      </c>
      <c r="Z172" s="31">
        <v>4470714</v>
      </c>
      <c r="AA172" s="32">
        <f t="shared" si="11"/>
        <v>4.0890477495011675E-4</v>
      </c>
      <c r="AB172" s="32">
        <f t="shared" si="11"/>
        <v>7.8217667611215822E-5</v>
      </c>
      <c r="AC172" s="32">
        <f t="shared" si="11"/>
        <v>8.6133336608783703E-5</v>
      </c>
      <c r="AD172" s="32">
        <f t="shared" si="11"/>
        <v>9.1485171869075553E-5</v>
      </c>
      <c r="AE172" s="32">
        <f t="shared" si="11"/>
        <v>5.3826668934662663E-5</v>
      </c>
      <c r="AF172" s="32">
        <f t="shared" si="9"/>
        <v>5.8097389340667971E-5</v>
      </c>
      <c r="AG172" s="32">
        <f t="shared" si="9"/>
        <v>1.1600503374582974E-4</v>
      </c>
      <c r="AH172" s="32">
        <f t="shared" si="9"/>
        <v>2.5149353035119941E-4</v>
      </c>
      <c r="AI172" s="32">
        <f t="shared" si="9"/>
        <v>9.1174862808510485E-4</v>
      </c>
      <c r="AJ172" s="32">
        <f t="shared" si="9"/>
        <v>3.3575361704186622E-3</v>
      </c>
      <c r="AK172" s="33">
        <f t="shared" si="12"/>
        <v>2.1786229224235771E-4</v>
      </c>
    </row>
    <row r="173" spans="1:37" x14ac:dyDescent="0.3">
      <c r="A173" t="s">
        <v>57</v>
      </c>
      <c r="B173" s="1">
        <v>2017</v>
      </c>
      <c r="C173" s="1" t="str">
        <f t="shared" si="10"/>
        <v>Louisiana, 2017</v>
      </c>
      <c r="D173" s="27">
        <v>112</v>
      </c>
      <c r="E173" s="27">
        <v>45</v>
      </c>
      <c r="F173" s="27">
        <v>53</v>
      </c>
      <c r="G173" s="27">
        <v>39</v>
      </c>
      <c r="H173" s="27">
        <v>40</v>
      </c>
      <c r="I173" s="27">
        <v>49</v>
      </c>
      <c r="J173" s="27">
        <v>99</v>
      </c>
      <c r="K173" s="27">
        <v>126</v>
      </c>
      <c r="L173" s="27">
        <v>192</v>
      </c>
      <c r="M173" s="27">
        <v>268</v>
      </c>
      <c r="N173" s="27">
        <v>33</v>
      </c>
      <c r="O173" s="28">
        <v>1056</v>
      </c>
      <c r="P173" s="29">
        <v>289816</v>
      </c>
      <c r="Q173" s="30">
        <v>572628</v>
      </c>
      <c r="R173" s="30">
        <v>606222</v>
      </c>
      <c r="S173" s="30">
        <v>627517</v>
      </c>
      <c r="T173" s="30">
        <v>530602</v>
      </c>
      <c r="U173" s="30">
        <v>555232</v>
      </c>
      <c r="V173" s="30">
        <v>548072</v>
      </c>
      <c r="W173" s="30">
        <v>356898</v>
      </c>
      <c r="X173" s="30">
        <v>176640</v>
      </c>
      <c r="Y173" s="30">
        <v>69369</v>
      </c>
      <c r="Z173" s="31">
        <v>4332996</v>
      </c>
      <c r="AA173" s="32">
        <f t="shared" si="11"/>
        <v>3.8645209374223643E-4</v>
      </c>
      <c r="AB173" s="32">
        <f t="shared" si="11"/>
        <v>7.8585049980091782E-5</v>
      </c>
      <c r="AC173" s="32">
        <f t="shared" si="11"/>
        <v>8.7426718264926051E-5</v>
      </c>
      <c r="AD173" s="32">
        <f t="shared" si="11"/>
        <v>6.2149710685128847E-5</v>
      </c>
      <c r="AE173" s="32">
        <f t="shared" si="11"/>
        <v>7.5386070915676908E-5</v>
      </c>
      <c r="AF173" s="32">
        <f t="shared" si="9"/>
        <v>8.8251397613970373E-5</v>
      </c>
      <c r="AG173" s="32">
        <f t="shared" si="9"/>
        <v>1.8063320147717818E-4</v>
      </c>
      <c r="AH173" s="32">
        <f t="shared" si="9"/>
        <v>3.5304204562648151E-4</v>
      </c>
      <c r="AI173" s="32">
        <f t="shared" si="9"/>
        <v>1.0869565217391304E-3</v>
      </c>
      <c r="AJ173" s="32">
        <f t="shared" si="9"/>
        <v>3.8633971947123354E-3</v>
      </c>
      <c r="AK173" s="33">
        <f t="shared" si="12"/>
        <v>2.4371127967807955E-4</v>
      </c>
    </row>
    <row r="174" spans="1:37" x14ac:dyDescent="0.3">
      <c r="A174" t="s">
        <v>58</v>
      </c>
      <c r="B174" s="1">
        <v>2009</v>
      </c>
      <c r="C174" s="1" t="str">
        <f t="shared" si="10"/>
        <v>Maine, 2009</v>
      </c>
      <c r="D174" s="27">
        <v>117</v>
      </c>
      <c r="E174" s="27">
        <v>46</v>
      </c>
      <c r="F174" s="27">
        <v>43</v>
      </c>
      <c r="G174" s="27">
        <v>52</v>
      </c>
      <c r="H174" s="27">
        <v>54</v>
      </c>
      <c r="I174" s="27">
        <v>61</v>
      </c>
      <c r="J174" s="27">
        <v>50</v>
      </c>
      <c r="K174" s="27">
        <v>49</v>
      </c>
      <c r="L174" s="27">
        <v>63</v>
      </c>
      <c r="M174" s="27">
        <v>103</v>
      </c>
      <c r="N174" s="27">
        <v>52</v>
      </c>
      <c r="O174" s="28">
        <v>690</v>
      </c>
      <c r="P174" s="29">
        <v>70908.907999999996</v>
      </c>
      <c r="Q174" s="30">
        <v>154170.177</v>
      </c>
      <c r="R174" s="30">
        <v>173479.87500000003</v>
      </c>
      <c r="S174" s="30">
        <v>147387.47699999998</v>
      </c>
      <c r="T174" s="30">
        <v>184908.92799999996</v>
      </c>
      <c r="U174" s="30">
        <v>216653.70199999999</v>
      </c>
      <c r="V174" s="30">
        <v>171821.56100000002</v>
      </c>
      <c r="W174" s="30">
        <v>101939.62000000001</v>
      </c>
      <c r="X174" s="30">
        <v>68907.930999999997</v>
      </c>
      <c r="Y174" s="30">
        <v>26937.315999999992</v>
      </c>
      <c r="Z174" s="31">
        <v>1316380</v>
      </c>
      <c r="AA174" s="32">
        <f t="shared" si="11"/>
        <v>1.6500042561648249E-3</v>
      </c>
      <c r="AB174" s="32">
        <f t="shared" si="11"/>
        <v>2.9837158453803941E-4</v>
      </c>
      <c r="AC174" s="32">
        <f t="shared" si="11"/>
        <v>2.4786736790074348E-4</v>
      </c>
      <c r="AD174" s="32">
        <f t="shared" si="11"/>
        <v>3.5281152142932742E-4</v>
      </c>
      <c r="AE174" s="32">
        <f t="shared" si="11"/>
        <v>2.920356555201056E-4</v>
      </c>
      <c r="AF174" s="32">
        <f t="shared" si="9"/>
        <v>2.8155530894182461E-4</v>
      </c>
      <c r="AG174" s="32">
        <f t="shared" si="9"/>
        <v>2.9099956785982173E-4</v>
      </c>
      <c r="AH174" s="32">
        <f t="shared" si="9"/>
        <v>4.8067669861826044E-4</v>
      </c>
      <c r="AI174" s="32">
        <f t="shared" si="9"/>
        <v>9.1426341040481973E-4</v>
      </c>
      <c r="AJ174" s="32">
        <f t="shared" si="9"/>
        <v>3.8236920114832536E-3</v>
      </c>
      <c r="AK174" s="33">
        <f t="shared" si="12"/>
        <v>5.2416475485801976E-4</v>
      </c>
    </row>
    <row r="175" spans="1:37" x14ac:dyDescent="0.3">
      <c r="A175" t="s">
        <v>58</v>
      </c>
      <c r="B175" s="1">
        <v>2010</v>
      </c>
      <c r="C175" s="1" t="str">
        <f t="shared" si="10"/>
        <v>Maine, 2010</v>
      </c>
      <c r="D175" s="27">
        <v>118</v>
      </c>
      <c r="E175" s="27">
        <v>55</v>
      </c>
      <c r="F175" s="27">
        <v>43</v>
      </c>
      <c r="G175" s="27">
        <v>42</v>
      </c>
      <c r="H175" s="27">
        <v>50</v>
      </c>
      <c r="I175" s="27">
        <v>73</v>
      </c>
      <c r="J175" s="27">
        <v>55</v>
      </c>
      <c r="K175" s="27">
        <v>62</v>
      </c>
      <c r="L175" s="27">
        <v>54</v>
      </c>
      <c r="M175" s="27">
        <v>124</v>
      </c>
      <c r="N175" s="27">
        <v>47</v>
      </c>
      <c r="O175" s="28">
        <v>723</v>
      </c>
      <c r="P175" s="29">
        <v>69854.609000000011</v>
      </c>
      <c r="Q175" s="30">
        <v>156391.02499999999</v>
      </c>
      <c r="R175" s="30">
        <v>171735.96099999998</v>
      </c>
      <c r="S175" s="30">
        <v>144232.56400000001</v>
      </c>
      <c r="T175" s="30">
        <v>182626.19399999999</v>
      </c>
      <c r="U175" s="30">
        <v>218987.40700000001</v>
      </c>
      <c r="V175" s="30">
        <v>180791.66800000001</v>
      </c>
      <c r="W175" s="30">
        <v>106281.59299999999</v>
      </c>
      <c r="X175" s="30">
        <v>69812.343999999997</v>
      </c>
      <c r="Y175" s="30">
        <v>27321.834999999999</v>
      </c>
      <c r="Z175" s="31">
        <v>1327665</v>
      </c>
      <c r="AA175" s="32">
        <f t="shared" si="11"/>
        <v>1.6892228256549253E-3</v>
      </c>
      <c r="AB175" s="32">
        <f t="shared" si="11"/>
        <v>3.5168258536575231E-4</v>
      </c>
      <c r="AC175" s="32">
        <f t="shared" si="11"/>
        <v>2.5038436766310117E-4</v>
      </c>
      <c r="AD175" s="32">
        <f t="shared" si="11"/>
        <v>2.9119637642994404E-4</v>
      </c>
      <c r="AE175" s="32">
        <f t="shared" si="11"/>
        <v>2.737832887214416E-4</v>
      </c>
      <c r="AF175" s="32">
        <f t="shared" si="9"/>
        <v>3.3335250186326923E-4</v>
      </c>
      <c r="AG175" s="32">
        <f t="shared" si="9"/>
        <v>3.0421755940655408E-4</v>
      </c>
      <c r="AH175" s="32">
        <f t="shared" si="9"/>
        <v>5.833559532740538E-4</v>
      </c>
      <c r="AI175" s="32">
        <f t="shared" si="9"/>
        <v>7.7350217606215891E-4</v>
      </c>
      <c r="AJ175" s="32">
        <f t="shared" si="9"/>
        <v>4.5384945776885044E-3</v>
      </c>
      <c r="AK175" s="33">
        <f t="shared" si="12"/>
        <v>5.4456508230615408E-4</v>
      </c>
    </row>
    <row r="176" spans="1:37" x14ac:dyDescent="0.3">
      <c r="A176" t="s">
        <v>58</v>
      </c>
      <c r="B176" s="1">
        <v>2011</v>
      </c>
      <c r="C176" s="1" t="str">
        <f t="shared" si="10"/>
        <v>Maine, 2011</v>
      </c>
      <c r="D176" s="27">
        <v>92</v>
      </c>
      <c r="E176" s="27">
        <v>76</v>
      </c>
      <c r="F176" s="27">
        <v>56</v>
      </c>
      <c r="G176" s="27">
        <v>49</v>
      </c>
      <c r="H176" s="27">
        <v>48</v>
      </c>
      <c r="I176" s="27">
        <v>56</v>
      </c>
      <c r="J176" s="27">
        <v>69</v>
      </c>
      <c r="K176" s="27">
        <v>66</v>
      </c>
      <c r="L176" s="27">
        <v>73</v>
      </c>
      <c r="M176" s="27">
        <v>132</v>
      </c>
      <c r="N176" s="27">
        <v>82</v>
      </c>
      <c r="O176" s="28">
        <v>799</v>
      </c>
      <c r="P176" s="29">
        <v>70423.584999999992</v>
      </c>
      <c r="Q176" s="30">
        <v>156813.193</v>
      </c>
      <c r="R176" s="30">
        <v>170339.36399999997</v>
      </c>
      <c r="S176" s="30">
        <v>146727.079</v>
      </c>
      <c r="T176" s="30">
        <v>177433.42499999999</v>
      </c>
      <c r="U176" s="30">
        <v>217765.52800000005</v>
      </c>
      <c r="V176" s="30">
        <v>184669.15100000001</v>
      </c>
      <c r="W176" s="30">
        <v>108867.29499999998</v>
      </c>
      <c r="X176" s="30">
        <v>68881.164999999994</v>
      </c>
      <c r="Y176" s="30">
        <v>27006.370000000003</v>
      </c>
      <c r="Z176" s="31">
        <v>1328570</v>
      </c>
      <c r="AA176" s="32">
        <f t="shared" si="11"/>
        <v>1.3063805257855024E-3</v>
      </c>
      <c r="AB176" s="32">
        <f t="shared" si="11"/>
        <v>4.8465309930906134E-4</v>
      </c>
      <c r="AC176" s="32">
        <f t="shared" si="11"/>
        <v>3.2875548367082086E-4</v>
      </c>
      <c r="AD176" s="32">
        <f t="shared" si="11"/>
        <v>3.3395335294584579E-4</v>
      </c>
      <c r="AE176" s="32">
        <f t="shared" si="11"/>
        <v>2.7052400076253957E-4</v>
      </c>
      <c r="AF176" s="32">
        <f t="shared" si="9"/>
        <v>2.5715732197981303E-4</v>
      </c>
      <c r="AG176" s="32">
        <f t="shared" si="9"/>
        <v>3.73641182765821E-4</v>
      </c>
      <c r="AH176" s="32">
        <f t="shared" si="9"/>
        <v>6.0624267370655268E-4</v>
      </c>
      <c r="AI176" s="32">
        <f t="shared" si="9"/>
        <v>1.0597962447354077E-3</v>
      </c>
      <c r="AJ176" s="32">
        <f t="shared" si="9"/>
        <v>4.8877357453074952E-3</v>
      </c>
      <c r="AK176" s="33">
        <f t="shared" si="12"/>
        <v>6.0139849612741514E-4</v>
      </c>
    </row>
    <row r="177" spans="1:37" x14ac:dyDescent="0.3">
      <c r="A177" t="s">
        <v>58</v>
      </c>
      <c r="B177" s="1">
        <v>2012</v>
      </c>
      <c r="C177" s="1" t="str">
        <f t="shared" si="10"/>
        <v>Maine, 2012</v>
      </c>
      <c r="D177" s="27">
        <v>87</v>
      </c>
      <c r="E177" s="27">
        <v>62</v>
      </c>
      <c r="F177" s="27">
        <v>45</v>
      </c>
      <c r="G177" s="27">
        <v>53</v>
      </c>
      <c r="H177" s="27">
        <v>56</v>
      </c>
      <c r="I177" s="27">
        <v>42</v>
      </c>
      <c r="J177" s="27">
        <v>49</v>
      </c>
      <c r="K177" s="27">
        <v>48</v>
      </c>
      <c r="L177" s="27">
        <v>81</v>
      </c>
      <c r="M177" s="27">
        <v>72</v>
      </c>
      <c r="N177" s="27">
        <v>62</v>
      </c>
      <c r="O177" s="28">
        <v>657</v>
      </c>
      <c r="P177" s="29">
        <v>67997.368999999992</v>
      </c>
      <c r="Q177" s="30">
        <v>151752.61799999999</v>
      </c>
      <c r="R177" s="30">
        <v>166605.57200000001</v>
      </c>
      <c r="S177" s="30">
        <v>143640.47100000002</v>
      </c>
      <c r="T177" s="30">
        <v>169248.83500000002</v>
      </c>
      <c r="U177" s="30">
        <v>213957.14499999999</v>
      </c>
      <c r="V177" s="30">
        <v>189178.64600000001</v>
      </c>
      <c r="W177" s="30">
        <v>112263.77100000001</v>
      </c>
      <c r="X177" s="30">
        <v>69188.300000000017</v>
      </c>
      <c r="Y177" s="30">
        <v>28274.793000000005</v>
      </c>
      <c r="Z177" s="31">
        <v>1311652</v>
      </c>
      <c r="AA177" s="32">
        <f t="shared" si="11"/>
        <v>1.2794612685676119E-3</v>
      </c>
      <c r="AB177" s="32">
        <f t="shared" si="11"/>
        <v>4.0855967308583768E-4</v>
      </c>
      <c r="AC177" s="32">
        <f t="shared" si="11"/>
        <v>2.7009900965377072E-4</v>
      </c>
      <c r="AD177" s="32">
        <f t="shared" si="11"/>
        <v>3.6897679067064595E-4</v>
      </c>
      <c r="AE177" s="32">
        <f t="shared" si="11"/>
        <v>3.3087376938222349E-4</v>
      </c>
      <c r="AF177" s="32">
        <f t="shared" si="9"/>
        <v>1.9630099289275898E-4</v>
      </c>
      <c r="AG177" s="32">
        <f t="shared" si="9"/>
        <v>2.5901443443040605E-4</v>
      </c>
      <c r="AH177" s="32">
        <f t="shared" si="9"/>
        <v>4.2756447224634914E-4</v>
      </c>
      <c r="AI177" s="32">
        <f t="shared" si="9"/>
        <v>1.1707181705577386E-3</v>
      </c>
      <c r="AJ177" s="32">
        <f t="shared" si="9"/>
        <v>2.5464377404991077E-3</v>
      </c>
      <c r="AK177" s="33">
        <f t="shared" si="12"/>
        <v>5.0089505448091415E-4</v>
      </c>
    </row>
    <row r="178" spans="1:37" x14ac:dyDescent="0.3">
      <c r="A178" t="s">
        <v>58</v>
      </c>
      <c r="B178" s="1">
        <v>2013</v>
      </c>
      <c r="C178" s="1" t="str">
        <f t="shared" si="10"/>
        <v>Maine, 2013</v>
      </c>
      <c r="D178" s="27">
        <v>96</v>
      </c>
      <c r="E178" s="27">
        <v>53</v>
      </c>
      <c r="F178" s="27">
        <v>52</v>
      </c>
      <c r="G178" s="27">
        <v>51</v>
      </c>
      <c r="H178" s="27">
        <v>63</v>
      </c>
      <c r="I178" s="27">
        <v>60</v>
      </c>
      <c r="J178" s="27">
        <v>50</v>
      </c>
      <c r="K178" s="27">
        <v>64</v>
      </c>
      <c r="L178" s="27">
        <v>67</v>
      </c>
      <c r="M178" s="27">
        <v>118</v>
      </c>
      <c r="N178" s="27">
        <v>51</v>
      </c>
      <c r="O178" s="28">
        <v>725</v>
      </c>
      <c r="P178" s="29">
        <v>67206.489000000001</v>
      </c>
      <c r="Q178" s="30">
        <v>151387.834</v>
      </c>
      <c r="R178" s="30">
        <v>166279.99900000001</v>
      </c>
      <c r="S178" s="30">
        <v>146565.72199999998</v>
      </c>
      <c r="T178" s="30">
        <v>166515.97600000002</v>
      </c>
      <c r="U178" s="30">
        <v>214111.89799999999</v>
      </c>
      <c r="V178" s="30">
        <v>197092.21400000001</v>
      </c>
      <c r="W178" s="30">
        <v>120085.683</v>
      </c>
      <c r="X178" s="30">
        <v>70659.911000000007</v>
      </c>
      <c r="Y178" s="30">
        <v>29655.079000000002</v>
      </c>
      <c r="Z178" s="31">
        <v>1328320</v>
      </c>
      <c r="AA178" s="32">
        <f t="shared" si="11"/>
        <v>1.428433495462023E-3</v>
      </c>
      <c r="AB178" s="32">
        <f t="shared" si="11"/>
        <v>3.5009418260122539E-4</v>
      </c>
      <c r="AC178" s="32">
        <f t="shared" si="11"/>
        <v>3.1272552509457256E-4</v>
      </c>
      <c r="AD178" s="32">
        <f t="shared" si="11"/>
        <v>3.4796676401594096E-4</v>
      </c>
      <c r="AE178" s="32">
        <f t="shared" si="11"/>
        <v>3.7834207571770765E-4</v>
      </c>
      <c r="AF178" s="32">
        <f t="shared" si="9"/>
        <v>2.8022730432290132E-4</v>
      </c>
      <c r="AG178" s="32">
        <f t="shared" si="9"/>
        <v>2.5368835726813642E-4</v>
      </c>
      <c r="AH178" s="32">
        <f t="shared" si="9"/>
        <v>5.3295279171622812E-4</v>
      </c>
      <c r="AI178" s="32">
        <f t="shared" si="9"/>
        <v>9.4820385494117016E-4</v>
      </c>
      <c r="AJ178" s="32">
        <f t="shared" si="9"/>
        <v>3.9790823015511106E-3</v>
      </c>
      <c r="AK178" s="33">
        <f t="shared" si="12"/>
        <v>5.458022163334136E-4</v>
      </c>
    </row>
    <row r="179" spans="1:37" x14ac:dyDescent="0.3">
      <c r="A179" t="s">
        <v>58</v>
      </c>
      <c r="B179" s="1">
        <v>2014</v>
      </c>
      <c r="C179" s="1" t="str">
        <f t="shared" si="10"/>
        <v>Maine, 2014</v>
      </c>
      <c r="D179" s="27">
        <v>113</v>
      </c>
      <c r="E179" s="27">
        <v>43</v>
      </c>
      <c r="F179" s="27">
        <v>34</v>
      </c>
      <c r="G179" s="27">
        <v>68</v>
      </c>
      <c r="H179" s="27">
        <v>32</v>
      </c>
      <c r="I179" s="27">
        <v>56</v>
      </c>
      <c r="J179" s="27">
        <v>69</v>
      </c>
      <c r="K179" s="27">
        <v>59</v>
      </c>
      <c r="L179" s="27">
        <v>40</v>
      </c>
      <c r="M179" s="27">
        <v>98</v>
      </c>
      <c r="N179" s="27">
        <v>54</v>
      </c>
      <c r="O179" s="28">
        <v>666</v>
      </c>
      <c r="P179" s="29">
        <v>65956.34199999999</v>
      </c>
      <c r="Q179" s="30">
        <v>149855.83599999995</v>
      </c>
      <c r="R179" s="30">
        <v>164211.20499999999</v>
      </c>
      <c r="S179" s="30">
        <v>148913.19700000004</v>
      </c>
      <c r="T179" s="30">
        <v>162545.875</v>
      </c>
      <c r="U179" s="30">
        <v>209736.07199999999</v>
      </c>
      <c r="V179" s="30">
        <v>200903.60599999997</v>
      </c>
      <c r="W179" s="30">
        <v>125861.024</v>
      </c>
      <c r="X179" s="30">
        <v>70951.416999999987</v>
      </c>
      <c r="Y179" s="30">
        <v>29861.784999999996</v>
      </c>
      <c r="Z179" s="31">
        <v>1328535</v>
      </c>
      <c r="AA179" s="32">
        <f t="shared" si="11"/>
        <v>1.7132545040172181E-3</v>
      </c>
      <c r="AB179" s="32">
        <f t="shared" si="11"/>
        <v>2.86942445137739E-4</v>
      </c>
      <c r="AC179" s="32">
        <f t="shared" si="11"/>
        <v>2.0705042630921565E-4</v>
      </c>
      <c r="AD179" s="32">
        <f t="shared" si="11"/>
        <v>4.5664186499199246E-4</v>
      </c>
      <c r="AE179" s="32">
        <f t="shared" si="11"/>
        <v>1.9686749971354242E-4</v>
      </c>
      <c r="AF179" s="32">
        <f t="shared" si="9"/>
        <v>2.6700223507570984E-4</v>
      </c>
      <c r="AG179" s="32">
        <f t="shared" si="9"/>
        <v>3.4344829032088159E-4</v>
      </c>
      <c r="AH179" s="32">
        <f t="shared" si="9"/>
        <v>4.6877101524297148E-4</v>
      </c>
      <c r="AI179" s="32">
        <f t="shared" si="9"/>
        <v>5.6376604853430911E-4</v>
      </c>
      <c r="AJ179" s="32">
        <f t="shared" si="9"/>
        <v>3.2817864035924178E-3</v>
      </c>
      <c r="AK179" s="33">
        <f t="shared" si="12"/>
        <v>5.0130406801476813E-4</v>
      </c>
    </row>
    <row r="180" spans="1:37" x14ac:dyDescent="0.3">
      <c r="A180" t="s">
        <v>58</v>
      </c>
      <c r="B180" s="1">
        <v>2015</v>
      </c>
      <c r="C180" s="1" t="str">
        <f t="shared" si="10"/>
        <v>Maine, 2015</v>
      </c>
      <c r="D180" s="27">
        <v>73</v>
      </c>
      <c r="E180" s="27">
        <v>38</v>
      </c>
      <c r="F180" s="27">
        <v>45</v>
      </c>
      <c r="G180" s="27">
        <v>56</v>
      </c>
      <c r="H180" s="27">
        <v>39</v>
      </c>
      <c r="I180" s="27">
        <v>44</v>
      </c>
      <c r="J180" s="27">
        <v>56</v>
      </c>
      <c r="K180" s="27">
        <v>59</v>
      </c>
      <c r="L180" s="27">
        <v>89</v>
      </c>
      <c r="M180" s="27">
        <v>154</v>
      </c>
      <c r="N180" s="27">
        <v>45</v>
      </c>
      <c r="O180" s="28">
        <v>698</v>
      </c>
      <c r="P180" s="29">
        <v>64944.401000000005</v>
      </c>
      <c r="Q180" s="30">
        <v>145959.08900000001</v>
      </c>
      <c r="R180" s="30">
        <v>160379.671</v>
      </c>
      <c r="S180" s="30">
        <v>147529.31200000001</v>
      </c>
      <c r="T180" s="30">
        <v>154234.05900000001</v>
      </c>
      <c r="U180" s="30">
        <v>198602.57199999996</v>
      </c>
      <c r="V180" s="30">
        <v>196171.67199999999</v>
      </c>
      <c r="W180" s="30">
        <v>127684.69499999999</v>
      </c>
      <c r="X180" s="30">
        <v>69236.835999999996</v>
      </c>
      <c r="Y180" s="30">
        <v>29402.300999999999</v>
      </c>
      <c r="Z180" s="31">
        <v>1293764</v>
      </c>
      <c r="AA180" s="32">
        <f t="shared" si="11"/>
        <v>1.1240383909307285E-3</v>
      </c>
      <c r="AB180" s="32">
        <f t="shared" si="11"/>
        <v>2.6034692502088715E-4</v>
      </c>
      <c r="AC180" s="32">
        <f t="shared" si="11"/>
        <v>2.8058418950117436E-4</v>
      </c>
      <c r="AD180" s="32">
        <f t="shared" si="11"/>
        <v>3.7958558364320169E-4</v>
      </c>
      <c r="AE180" s="32">
        <f t="shared" si="11"/>
        <v>2.5286243682402212E-4</v>
      </c>
      <c r="AF180" s="32">
        <f t="shared" si="9"/>
        <v>2.2154798680049326E-4</v>
      </c>
      <c r="AG180" s="32">
        <f t="shared" si="9"/>
        <v>2.8546425398260359E-4</v>
      </c>
      <c r="AH180" s="32">
        <f t="shared" si="9"/>
        <v>4.6207574055762911E-4</v>
      </c>
      <c r="AI180" s="32">
        <f t="shared" si="9"/>
        <v>1.2854429107650154E-3</v>
      </c>
      <c r="AJ180" s="32">
        <f t="shared" si="9"/>
        <v>5.2376853090511525E-3</v>
      </c>
      <c r="AK180" s="33">
        <f t="shared" si="12"/>
        <v>5.3951107002513598E-4</v>
      </c>
    </row>
    <row r="181" spans="1:37" x14ac:dyDescent="0.3">
      <c r="A181" t="s">
        <v>58</v>
      </c>
      <c r="B181" s="1">
        <v>2016</v>
      </c>
      <c r="C181" s="1" t="str">
        <f t="shared" si="10"/>
        <v>Maine, 2016</v>
      </c>
      <c r="D181" s="27">
        <v>119</v>
      </c>
      <c r="E181" s="27">
        <v>52</v>
      </c>
      <c r="F181" s="27">
        <v>61</v>
      </c>
      <c r="G181" s="27">
        <v>48</v>
      </c>
      <c r="H181" s="27">
        <v>62</v>
      </c>
      <c r="I181" s="27">
        <v>79</v>
      </c>
      <c r="J181" s="27">
        <v>43</v>
      </c>
      <c r="K181" s="27">
        <v>49</v>
      </c>
      <c r="L181" s="27">
        <v>52</v>
      </c>
      <c r="M181" s="27">
        <v>97</v>
      </c>
      <c r="N181" s="27">
        <v>59</v>
      </c>
      <c r="O181" s="28">
        <v>721</v>
      </c>
      <c r="P181" s="29">
        <v>61962.506999999998</v>
      </c>
      <c r="Q181" s="30">
        <v>139004.45199999999</v>
      </c>
      <c r="R181" s="30">
        <v>154073.13199999998</v>
      </c>
      <c r="S181" s="30">
        <v>145286.79599999997</v>
      </c>
      <c r="T181" s="30">
        <v>147911.33999999997</v>
      </c>
      <c r="U181" s="30">
        <v>190401.63200000001</v>
      </c>
      <c r="V181" s="30">
        <v>194861.277</v>
      </c>
      <c r="W181" s="30">
        <v>131577.86499999999</v>
      </c>
      <c r="X181" s="30">
        <v>67546.743000000002</v>
      </c>
      <c r="Y181" s="30">
        <v>29568.532999999996</v>
      </c>
      <c r="Z181" s="31">
        <v>1262864</v>
      </c>
      <c r="AA181" s="32">
        <f t="shared" si="11"/>
        <v>1.9205162244323008E-3</v>
      </c>
      <c r="AB181" s="32">
        <f t="shared" si="11"/>
        <v>3.7408873781970671E-4</v>
      </c>
      <c r="AC181" s="32">
        <f t="shared" si="11"/>
        <v>3.9591588233566904E-4</v>
      </c>
      <c r="AD181" s="32">
        <f t="shared" si="11"/>
        <v>3.3038102099794403E-4</v>
      </c>
      <c r="AE181" s="32">
        <f t="shared" si="11"/>
        <v>4.1917002442138658E-4</v>
      </c>
      <c r="AF181" s="32">
        <f t="shared" si="9"/>
        <v>4.149124099944689E-4</v>
      </c>
      <c r="AG181" s="32">
        <f t="shared" si="9"/>
        <v>2.2066980501210613E-4</v>
      </c>
      <c r="AH181" s="32">
        <f t="shared" si="9"/>
        <v>3.7240306338759947E-4</v>
      </c>
      <c r="AI181" s="32">
        <f t="shared" si="9"/>
        <v>7.6983726661698554E-4</v>
      </c>
      <c r="AJ181" s="32">
        <f t="shared" si="9"/>
        <v>3.2805144577176017E-3</v>
      </c>
      <c r="AK181" s="33">
        <f t="shared" si="12"/>
        <v>5.7092450176741126E-4</v>
      </c>
    </row>
    <row r="182" spans="1:37" x14ac:dyDescent="0.3">
      <c r="A182" t="s">
        <v>58</v>
      </c>
      <c r="B182" s="1">
        <v>2017</v>
      </c>
      <c r="C182" s="1" t="str">
        <f t="shared" si="10"/>
        <v>Maine, 2017</v>
      </c>
      <c r="D182" s="27">
        <v>118</v>
      </c>
      <c r="E182" s="27">
        <v>58</v>
      </c>
      <c r="F182" s="27">
        <v>55</v>
      </c>
      <c r="G182" s="27">
        <v>58</v>
      </c>
      <c r="H182" s="27">
        <v>50</v>
      </c>
      <c r="I182" s="27">
        <v>61</v>
      </c>
      <c r="J182" s="27">
        <v>67</v>
      </c>
      <c r="K182" s="27">
        <v>45</v>
      </c>
      <c r="L182" s="27">
        <v>51</v>
      </c>
      <c r="M182" s="27">
        <v>150</v>
      </c>
      <c r="N182" s="27">
        <v>64</v>
      </c>
      <c r="O182" s="28">
        <v>777</v>
      </c>
      <c r="P182" s="29">
        <v>61230</v>
      </c>
      <c r="Q182" s="30">
        <v>136821</v>
      </c>
      <c r="R182" s="30">
        <v>151730</v>
      </c>
      <c r="S182" s="30">
        <v>144673</v>
      </c>
      <c r="T182" s="30">
        <v>144392</v>
      </c>
      <c r="U182" s="30">
        <v>181782</v>
      </c>
      <c r="V182" s="30">
        <v>190992</v>
      </c>
      <c r="W182" s="30">
        <v>133514</v>
      </c>
      <c r="X182" s="30">
        <v>67368</v>
      </c>
      <c r="Y182" s="30">
        <v>29080</v>
      </c>
      <c r="Z182" s="31">
        <v>1241582</v>
      </c>
      <c r="AA182" s="32">
        <f t="shared" si="11"/>
        <v>1.9271598889433284E-3</v>
      </c>
      <c r="AB182" s="32">
        <f t="shared" si="11"/>
        <v>4.2391153404813586E-4</v>
      </c>
      <c r="AC182" s="32">
        <f t="shared" si="11"/>
        <v>3.6248599485928952E-4</v>
      </c>
      <c r="AD182" s="32">
        <f t="shared" si="11"/>
        <v>4.0090410788467786E-4</v>
      </c>
      <c r="AE182" s="32">
        <f t="shared" si="11"/>
        <v>3.462795722754723E-4</v>
      </c>
      <c r="AF182" s="32">
        <f t="shared" ref="AF182:AJ245" si="13">I182/U182</f>
        <v>3.3556677778877998E-4</v>
      </c>
      <c r="AG182" s="32">
        <f t="shared" si="13"/>
        <v>3.5080003350925691E-4</v>
      </c>
      <c r="AH182" s="32">
        <f t="shared" si="13"/>
        <v>3.3704330631993646E-4</v>
      </c>
      <c r="AI182" s="32">
        <f t="shared" si="13"/>
        <v>7.570359814748842E-4</v>
      </c>
      <c r="AJ182" s="32">
        <f t="shared" si="13"/>
        <v>5.1581843191196696E-3</v>
      </c>
      <c r="AK182" s="33">
        <f t="shared" si="12"/>
        <v>6.2581448506824353E-4</v>
      </c>
    </row>
    <row r="183" spans="1:37" x14ac:dyDescent="0.3">
      <c r="A183" t="s">
        <v>59</v>
      </c>
      <c r="B183" s="1">
        <v>2009</v>
      </c>
      <c r="C183" s="1" t="str">
        <f t="shared" si="10"/>
        <v>Maryland, 2009</v>
      </c>
      <c r="D183" s="27">
        <v>99</v>
      </c>
      <c r="E183" s="27">
        <v>64</v>
      </c>
      <c r="F183" s="27">
        <v>52</v>
      </c>
      <c r="G183" s="27">
        <v>59</v>
      </c>
      <c r="H183" s="27">
        <v>71</v>
      </c>
      <c r="I183" s="27">
        <v>84</v>
      </c>
      <c r="J183" s="27">
        <v>63</v>
      </c>
      <c r="K183" s="27">
        <v>69</v>
      </c>
      <c r="L183" s="27">
        <v>284</v>
      </c>
      <c r="M183" s="27">
        <v>398</v>
      </c>
      <c r="N183" s="27">
        <v>61</v>
      </c>
      <c r="O183" s="28">
        <v>1304</v>
      </c>
      <c r="P183" s="29">
        <v>376457.23900000006</v>
      </c>
      <c r="Q183" s="30">
        <v>744541.28700000001</v>
      </c>
      <c r="R183" s="30">
        <v>777087.99100000015</v>
      </c>
      <c r="S183" s="30">
        <v>737196.44500000007</v>
      </c>
      <c r="T183" s="30">
        <v>845033.71900000004</v>
      </c>
      <c r="U183" s="30">
        <v>866535.84200000006</v>
      </c>
      <c r="V183" s="30">
        <v>626576.63299999991</v>
      </c>
      <c r="W183" s="30">
        <v>353991.511</v>
      </c>
      <c r="X183" s="30">
        <v>224763.68699999998</v>
      </c>
      <c r="Y183" s="30">
        <v>84359.324999999997</v>
      </c>
      <c r="Z183" s="31">
        <v>5637418</v>
      </c>
      <c r="AA183" s="32">
        <f t="shared" ref="AA183:AE246" si="14">D183/P183</f>
        <v>2.6297807491490417E-4</v>
      </c>
      <c r="AB183" s="32">
        <f t="shared" si="14"/>
        <v>8.5958967108294156E-5</v>
      </c>
      <c r="AC183" s="32">
        <f t="shared" si="14"/>
        <v>6.6916488997704749E-5</v>
      </c>
      <c r="AD183" s="32">
        <f t="shared" si="14"/>
        <v>8.0032941558745571E-5</v>
      </c>
      <c r="AE183" s="32">
        <f t="shared" si="14"/>
        <v>8.4020315880436485E-5</v>
      </c>
      <c r="AF183" s="32">
        <f t="shared" si="13"/>
        <v>9.6937709819509103E-5</v>
      </c>
      <c r="AG183" s="32">
        <f t="shared" si="13"/>
        <v>1.0054636046409986E-4</v>
      </c>
      <c r="AH183" s="32">
        <f t="shared" si="13"/>
        <v>1.9491992846122234E-4</v>
      </c>
      <c r="AI183" s="32">
        <f t="shared" si="13"/>
        <v>1.2635493027839504E-3</v>
      </c>
      <c r="AJ183" s="32">
        <f t="shared" si="13"/>
        <v>4.7179135205266285E-3</v>
      </c>
      <c r="AK183" s="33">
        <f t="shared" si="12"/>
        <v>2.3131156852303661E-4</v>
      </c>
    </row>
    <row r="184" spans="1:37" x14ac:dyDescent="0.3">
      <c r="A184" t="s">
        <v>59</v>
      </c>
      <c r="B184" s="1">
        <v>2010</v>
      </c>
      <c r="C184" s="1" t="str">
        <f t="shared" si="10"/>
        <v>Maryland, 2010</v>
      </c>
      <c r="D184" s="27">
        <v>106</v>
      </c>
      <c r="E184" s="27">
        <v>39</v>
      </c>
      <c r="F184" s="27">
        <v>51</v>
      </c>
      <c r="G184" s="27">
        <v>64</v>
      </c>
      <c r="H184" s="27">
        <v>66</v>
      </c>
      <c r="I184" s="27">
        <v>47</v>
      </c>
      <c r="J184" s="27">
        <v>64</v>
      </c>
      <c r="K184" s="27">
        <v>88</v>
      </c>
      <c r="L184" s="27">
        <v>252</v>
      </c>
      <c r="M184" s="27">
        <v>412</v>
      </c>
      <c r="N184" s="27">
        <v>70</v>
      </c>
      <c r="O184" s="28">
        <v>1259</v>
      </c>
      <c r="P184" s="29">
        <v>365794.34299999994</v>
      </c>
      <c r="Q184" s="30">
        <v>748715.91799999995</v>
      </c>
      <c r="R184" s="30">
        <v>794226.75800000015</v>
      </c>
      <c r="S184" s="30">
        <v>742006.57700000005</v>
      </c>
      <c r="T184" s="30">
        <v>832315.12</v>
      </c>
      <c r="U184" s="30">
        <v>880994.43099999998</v>
      </c>
      <c r="V184" s="30">
        <v>655731.91899999999</v>
      </c>
      <c r="W184" s="30">
        <v>362631.32800000004</v>
      </c>
      <c r="X184" s="30">
        <v>224595.25400000002</v>
      </c>
      <c r="Y184" s="30">
        <v>89221.076000000001</v>
      </c>
      <c r="Z184" s="31">
        <v>5696345</v>
      </c>
      <c r="AA184" s="32">
        <f t="shared" si="14"/>
        <v>2.8978031516468808E-4</v>
      </c>
      <c r="AB184" s="32">
        <f t="shared" si="14"/>
        <v>5.2089182375310473E-5</v>
      </c>
      <c r="AC184" s="32">
        <f t="shared" si="14"/>
        <v>6.4213399367740758E-5</v>
      </c>
      <c r="AD184" s="32">
        <f t="shared" si="14"/>
        <v>8.6252604739378203E-5</v>
      </c>
      <c r="AE184" s="32">
        <f t="shared" si="14"/>
        <v>7.9296889380070371E-5</v>
      </c>
      <c r="AF184" s="32">
        <f t="shared" si="13"/>
        <v>5.3348804880243338E-5</v>
      </c>
      <c r="AG184" s="32">
        <f t="shared" si="13"/>
        <v>9.760086118363867E-5</v>
      </c>
      <c r="AH184" s="32">
        <f t="shared" si="13"/>
        <v>2.4267070494251393E-4</v>
      </c>
      <c r="AI184" s="32">
        <f t="shared" si="13"/>
        <v>1.1220183664254989E-3</v>
      </c>
      <c r="AJ184" s="32">
        <f t="shared" si="13"/>
        <v>4.6177430095104433E-3</v>
      </c>
      <c r="AK184" s="33">
        <f t="shared" si="12"/>
        <v>2.210189165157658E-4</v>
      </c>
    </row>
    <row r="185" spans="1:37" x14ac:dyDescent="0.3">
      <c r="A185" t="s">
        <v>59</v>
      </c>
      <c r="B185" s="1">
        <v>2011</v>
      </c>
      <c r="C185" s="1" t="str">
        <f t="shared" si="10"/>
        <v>Maryland, 2011</v>
      </c>
      <c r="D185" s="27">
        <v>109</v>
      </c>
      <c r="E185" s="27">
        <v>58</v>
      </c>
      <c r="F185" s="27">
        <v>55</v>
      </c>
      <c r="G185" s="27">
        <v>53</v>
      </c>
      <c r="H185" s="27">
        <v>58</v>
      </c>
      <c r="I185" s="27">
        <v>29</v>
      </c>
      <c r="J185" s="27">
        <v>59</v>
      </c>
      <c r="K185" s="27">
        <v>120</v>
      </c>
      <c r="L185" s="27">
        <v>279</v>
      </c>
      <c r="M185" s="27">
        <v>457</v>
      </c>
      <c r="N185" s="27">
        <v>52</v>
      </c>
      <c r="O185" s="28">
        <v>1329</v>
      </c>
      <c r="P185" s="29">
        <v>363169.77099999995</v>
      </c>
      <c r="Q185" s="30">
        <v>739835.24199999997</v>
      </c>
      <c r="R185" s="30">
        <v>795965.18099999998</v>
      </c>
      <c r="S185" s="30">
        <v>747628.42400000023</v>
      </c>
      <c r="T185" s="30">
        <v>810304.35700000008</v>
      </c>
      <c r="U185" s="30">
        <v>882871.28500000015</v>
      </c>
      <c r="V185" s="30">
        <v>671693.57</v>
      </c>
      <c r="W185" s="30">
        <v>373372.92199999996</v>
      </c>
      <c r="X185" s="30">
        <v>225212.41500000001</v>
      </c>
      <c r="Y185" s="30">
        <v>92621.773000000016</v>
      </c>
      <c r="Z185" s="31">
        <v>5703250</v>
      </c>
      <c r="AA185" s="32">
        <f t="shared" si="14"/>
        <v>3.0013511229160097E-4</v>
      </c>
      <c r="AB185" s="32">
        <f t="shared" si="14"/>
        <v>7.8395832892751008E-5</v>
      </c>
      <c r="AC185" s="32">
        <f t="shared" si="14"/>
        <v>6.9098499925463448E-5</v>
      </c>
      <c r="AD185" s="32">
        <f t="shared" si="14"/>
        <v>7.0890830656807641E-5</v>
      </c>
      <c r="AE185" s="32">
        <f t="shared" si="14"/>
        <v>7.1578042866181943E-5</v>
      </c>
      <c r="AF185" s="32">
        <f t="shared" si="13"/>
        <v>3.2847370270967633E-5</v>
      </c>
      <c r="AG185" s="32">
        <f t="shared" si="13"/>
        <v>8.7837672764978241E-5</v>
      </c>
      <c r="AH185" s="32">
        <f t="shared" si="13"/>
        <v>3.2139449041245687E-4</v>
      </c>
      <c r="AI185" s="32">
        <f t="shared" si="13"/>
        <v>1.2388304614556883E-3</v>
      </c>
      <c r="AJ185" s="32">
        <f t="shared" si="13"/>
        <v>4.9340450435989809E-3</v>
      </c>
      <c r="AK185" s="33">
        <f t="shared" si="12"/>
        <v>2.3302502958839259E-4</v>
      </c>
    </row>
    <row r="186" spans="1:37" x14ac:dyDescent="0.3">
      <c r="A186" t="s">
        <v>59</v>
      </c>
      <c r="B186" s="1">
        <v>2012</v>
      </c>
      <c r="C186" s="1" t="str">
        <f t="shared" si="10"/>
        <v>Maryland, 2012</v>
      </c>
      <c r="D186" s="27">
        <v>115</v>
      </c>
      <c r="E186" s="27">
        <v>50</v>
      </c>
      <c r="F186" s="27">
        <v>67</v>
      </c>
      <c r="G186" s="27">
        <v>57</v>
      </c>
      <c r="H186" s="27">
        <v>74</v>
      </c>
      <c r="I186" s="27">
        <v>61</v>
      </c>
      <c r="J186" s="27">
        <v>67</v>
      </c>
      <c r="K186" s="27">
        <v>92</v>
      </c>
      <c r="L186" s="27">
        <v>250</v>
      </c>
      <c r="M186" s="27">
        <v>450</v>
      </c>
      <c r="N186" s="27">
        <v>42</v>
      </c>
      <c r="O186" s="28">
        <v>1325</v>
      </c>
      <c r="P186" s="29">
        <v>365907.95699999994</v>
      </c>
      <c r="Q186" s="30">
        <v>743555.66899999999</v>
      </c>
      <c r="R186" s="30">
        <v>800618.59400000016</v>
      </c>
      <c r="S186" s="30">
        <v>765833.20299999986</v>
      </c>
      <c r="T186" s="30">
        <v>799053.04899999988</v>
      </c>
      <c r="U186" s="30">
        <v>894068.85800000024</v>
      </c>
      <c r="V186" s="30">
        <v>698046.43099999987</v>
      </c>
      <c r="W186" s="30">
        <v>392613.01400000002</v>
      </c>
      <c r="X186" s="30">
        <v>225661.41000000006</v>
      </c>
      <c r="Y186" s="30">
        <v>98018.225000000006</v>
      </c>
      <c r="Z186" s="31">
        <v>5785496</v>
      </c>
      <c r="AA186" s="32">
        <f t="shared" si="14"/>
        <v>3.1428668822307141E-4</v>
      </c>
      <c r="AB186" s="32">
        <f t="shared" si="14"/>
        <v>6.7244460750658338E-5</v>
      </c>
      <c r="AC186" s="32">
        <f t="shared" si="14"/>
        <v>8.3685290976392174E-5</v>
      </c>
      <c r="AD186" s="32">
        <f t="shared" si="14"/>
        <v>7.4428739543694106E-5</v>
      </c>
      <c r="AE186" s="32">
        <f t="shared" si="14"/>
        <v>9.2609620966479795E-5</v>
      </c>
      <c r="AF186" s="32">
        <f t="shared" si="13"/>
        <v>6.8227407155702527E-5</v>
      </c>
      <c r="AG186" s="32">
        <f t="shared" si="13"/>
        <v>9.5982153943567709E-5</v>
      </c>
      <c r="AH186" s="32">
        <f t="shared" si="13"/>
        <v>2.3432743368002567E-4</v>
      </c>
      <c r="AI186" s="32">
        <f t="shared" si="13"/>
        <v>1.107854462134221E-3</v>
      </c>
      <c r="AJ186" s="32">
        <f t="shared" si="13"/>
        <v>4.5909829524050242E-3</v>
      </c>
      <c r="AK186" s="33">
        <f t="shared" si="12"/>
        <v>2.2902098627325989E-4</v>
      </c>
    </row>
    <row r="187" spans="1:37" x14ac:dyDescent="0.3">
      <c r="A187" t="s">
        <v>59</v>
      </c>
      <c r="B187" s="1">
        <v>2013</v>
      </c>
      <c r="C187" s="1" t="str">
        <f t="shared" si="10"/>
        <v>Maryland, 2013</v>
      </c>
      <c r="D187" s="27">
        <v>124</v>
      </c>
      <c r="E187" s="27">
        <v>64</v>
      </c>
      <c r="F187" s="27">
        <v>79</v>
      </c>
      <c r="G187" s="27">
        <v>73</v>
      </c>
      <c r="H187" s="27">
        <v>72</v>
      </c>
      <c r="I187" s="27">
        <v>37</v>
      </c>
      <c r="J187" s="27">
        <v>81</v>
      </c>
      <c r="K187" s="27">
        <v>122</v>
      </c>
      <c r="L187" s="27">
        <v>275</v>
      </c>
      <c r="M187" s="27">
        <v>513</v>
      </c>
      <c r="N187" s="27">
        <v>51</v>
      </c>
      <c r="O187" s="28">
        <v>1491</v>
      </c>
      <c r="P187" s="29">
        <v>364820.08800000005</v>
      </c>
      <c r="Q187" s="30">
        <v>741738.6320000001</v>
      </c>
      <c r="R187" s="30">
        <v>796374.05200000003</v>
      </c>
      <c r="S187" s="30">
        <v>780147.39100000006</v>
      </c>
      <c r="T187" s="30">
        <v>781572.67099999997</v>
      </c>
      <c r="U187" s="30">
        <v>891723.80900000001</v>
      </c>
      <c r="V187" s="30">
        <v>714193.32599999988</v>
      </c>
      <c r="W187" s="30">
        <v>408910.84399999998</v>
      </c>
      <c r="X187" s="30">
        <v>224541.05300000004</v>
      </c>
      <c r="Y187" s="30">
        <v>100625.353</v>
      </c>
      <c r="Z187" s="31">
        <v>5801682</v>
      </c>
      <c r="AA187" s="32">
        <f t="shared" si="14"/>
        <v>3.3989356419430496E-4</v>
      </c>
      <c r="AB187" s="32">
        <f t="shared" si="14"/>
        <v>8.6283762553168451E-5</v>
      </c>
      <c r="AC187" s="32">
        <f t="shared" si="14"/>
        <v>9.9199615810686905E-5</v>
      </c>
      <c r="AD187" s="32">
        <f t="shared" si="14"/>
        <v>9.3572061948996501E-5</v>
      </c>
      <c r="AE187" s="32">
        <f t="shared" si="14"/>
        <v>9.2121951894605085E-5</v>
      </c>
      <c r="AF187" s="32">
        <f t="shared" si="13"/>
        <v>4.1492668050988418E-5</v>
      </c>
      <c r="AG187" s="32">
        <f t="shared" si="13"/>
        <v>1.13414669461641E-4</v>
      </c>
      <c r="AH187" s="32">
        <f t="shared" si="13"/>
        <v>2.9835354525349785E-4</v>
      </c>
      <c r="AI187" s="32">
        <f t="shared" si="13"/>
        <v>1.2247203632736146E-3</v>
      </c>
      <c r="AJ187" s="32">
        <f t="shared" si="13"/>
        <v>5.098118761382134E-3</v>
      </c>
      <c r="AK187" s="33">
        <f t="shared" si="12"/>
        <v>2.5699443713047356E-4</v>
      </c>
    </row>
    <row r="188" spans="1:37" x14ac:dyDescent="0.3">
      <c r="A188" t="s">
        <v>59</v>
      </c>
      <c r="B188" s="1">
        <v>2014</v>
      </c>
      <c r="C188" s="1" t="str">
        <f t="shared" si="10"/>
        <v>Maryland, 2014</v>
      </c>
      <c r="D188" s="27">
        <v>112</v>
      </c>
      <c r="E188" s="27">
        <v>43</v>
      </c>
      <c r="F188" s="27">
        <v>50</v>
      </c>
      <c r="G188" s="27">
        <v>57</v>
      </c>
      <c r="H188" s="27">
        <v>72</v>
      </c>
      <c r="I188" s="27">
        <v>73</v>
      </c>
      <c r="J188" s="27">
        <v>76</v>
      </c>
      <c r="K188" s="27">
        <v>148</v>
      </c>
      <c r="L188" s="27">
        <v>242</v>
      </c>
      <c r="M188" s="27">
        <v>418</v>
      </c>
      <c r="N188" s="27">
        <v>60</v>
      </c>
      <c r="O188" s="28">
        <v>1351</v>
      </c>
      <c r="P188" s="29">
        <v>366845.91800000012</v>
      </c>
      <c r="Q188" s="30">
        <v>749956.99600000004</v>
      </c>
      <c r="R188" s="30">
        <v>800493.54500000004</v>
      </c>
      <c r="S188" s="30">
        <v>801138.55399999989</v>
      </c>
      <c r="T188" s="30">
        <v>778124.80099999998</v>
      </c>
      <c r="U188" s="30">
        <v>891440.80199999979</v>
      </c>
      <c r="V188" s="30">
        <v>734968.47100000002</v>
      </c>
      <c r="W188" s="30">
        <v>428991.5309999999</v>
      </c>
      <c r="X188" s="30">
        <v>227735.13600000003</v>
      </c>
      <c r="Y188" s="30">
        <v>102899.34299999999</v>
      </c>
      <c r="Z188" s="31">
        <v>5885916</v>
      </c>
      <c r="AA188" s="32">
        <f t="shared" si="14"/>
        <v>3.0530529168924802E-4</v>
      </c>
      <c r="AB188" s="32">
        <f t="shared" si="14"/>
        <v>5.7336620938729126E-5</v>
      </c>
      <c r="AC188" s="32">
        <f t="shared" si="14"/>
        <v>6.2461465569969089E-5</v>
      </c>
      <c r="AD188" s="32">
        <f t="shared" si="14"/>
        <v>7.114874164450711E-5</v>
      </c>
      <c r="AE188" s="32">
        <f t="shared" si="14"/>
        <v>9.2530144145861761E-5</v>
      </c>
      <c r="AF188" s="32">
        <f t="shared" si="13"/>
        <v>8.1889902095820842E-5</v>
      </c>
      <c r="AG188" s="32">
        <f t="shared" si="13"/>
        <v>1.0340579630115861E-4</v>
      </c>
      <c r="AH188" s="32">
        <f t="shared" si="13"/>
        <v>3.4499515562697676E-4</v>
      </c>
      <c r="AI188" s="32">
        <f t="shared" si="13"/>
        <v>1.0626379585098366E-3</v>
      </c>
      <c r="AJ188" s="32">
        <f t="shared" si="13"/>
        <v>4.0622222437319156E-3</v>
      </c>
      <c r="AK188" s="33">
        <f t="shared" si="12"/>
        <v>2.295309685017591E-4</v>
      </c>
    </row>
    <row r="189" spans="1:37" x14ac:dyDescent="0.3">
      <c r="A189" t="s">
        <v>59</v>
      </c>
      <c r="B189" s="1">
        <v>2015</v>
      </c>
      <c r="C189" s="1" t="str">
        <f t="shared" si="10"/>
        <v>Maryland, 2015</v>
      </c>
      <c r="D189" s="27">
        <v>127</v>
      </c>
      <c r="E189" s="27">
        <v>48</v>
      </c>
      <c r="F189" s="27">
        <v>45</v>
      </c>
      <c r="G189" s="27">
        <v>46</v>
      </c>
      <c r="H189" s="27">
        <v>52</v>
      </c>
      <c r="I189" s="27">
        <v>44</v>
      </c>
      <c r="J189" s="27">
        <v>60</v>
      </c>
      <c r="K189" s="27">
        <v>170</v>
      </c>
      <c r="L189" s="27">
        <v>305</v>
      </c>
      <c r="M189" s="27">
        <v>518</v>
      </c>
      <c r="N189" s="27">
        <v>48</v>
      </c>
      <c r="O189" s="28">
        <v>1463</v>
      </c>
      <c r="P189" s="29">
        <v>367732.45199999999</v>
      </c>
      <c r="Q189" s="30">
        <v>750653.31099999999</v>
      </c>
      <c r="R189" s="30">
        <v>797252.93500000017</v>
      </c>
      <c r="S189" s="30">
        <v>812909.54600000009</v>
      </c>
      <c r="T189" s="30">
        <v>774597.49300000002</v>
      </c>
      <c r="U189" s="30">
        <v>889446.85800000001</v>
      </c>
      <c r="V189" s="30">
        <v>753095.99799999979</v>
      </c>
      <c r="W189" s="30">
        <v>451601.03999999992</v>
      </c>
      <c r="X189" s="30">
        <v>230357.40399999998</v>
      </c>
      <c r="Y189" s="30">
        <v>105771.22300000001</v>
      </c>
      <c r="Z189" s="31">
        <v>5930100</v>
      </c>
      <c r="AA189" s="32">
        <f t="shared" si="14"/>
        <v>3.4535978347649342E-4</v>
      </c>
      <c r="AB189" s="32">
        <f t="shared" si="14"/>
        <v>6.3944299314494071E-5</v>
      </c>
      <c r="AC189" s="32">
        <f t="shared" si="14"/>
        <v>5.6443818547999437E-5</v>
      </c>
      <c r="AD189" s="32">
        <f t="shared" si="14"/>
        <v>5.6586861633434425E-5</v>
      </c>
      <c r="AE189" s="32">
        <f t="shared" si="14"/>
        <v>6.7131639941933041E-5</v>
      </c>
      <c r="AF189" s="32">
        <f t="shared" si="13"/>
        <v>4.9468947587198068E-5</v>
      </c>
      <c r="AG189" s="32">
        <f t="shared" si="13"/>
        <v>7.9671117838020988E-5</v>
      </c>
      <c r="AH189" s="32">
        <f t="shared" si="13"/>
        <v>3.7643845992914462E-4</v>
      </c>
      <c r="AI189" s="32">
        <f t="shared" si="13"/>
        <v>1.3240295067746119E-3</v>
      </c>
      <c r="AJ189" s="32">
        <f t="shared" si="13"/>
        <v>4.8973623005191111E-3</v>
      </c>
      <c r="AK189" s="33">
        <f t="shared" si="12"/>
        <v>2.4670747542199966E-4</v>
      </c>
    </row>
    <row r="190" spans="1:37" x14ac:dyDescent="0.3">
      <c r="A190" t="s">
        <v>59</v>
      </c>
      <c r="B190" s="1">
        <v>2016</v>
      </c>
      <c r="C190" s="1" t="str">
        <f t="shared" si="10"/>
        <v>Maryland, 2016</v>
      </c>
      <c r="D190" s="27">
        <v>114</v>
      </c>
      <c r="E190" s="27">
        <v>51</v>
      </c>
      <c r="F190" s="27">
        <v>34</v>
      </c>
      <c r="G190" s="27">
        <v>54</v>
      </c>
      <c r="H190" s="27">
        <v>55</v>
      </c>
      <c r="I190" s="27">
        <v>69</v>
      </c>
      <c r="J190" s="27">
        <v>60</v>
      </c>
      <c r="K190" s="27">
        <v>155</v>
      </c>
      <c r="L190" s="27">
        <v>254</v>
      </c>
      <c r="M190" s="27">
        <v>440</v>
      </c>
      <c r="N190" s="27">
        <v>47</v>
      </c>
      <c r="O190" s="28">
        <v>1333</v>
      </c>
      <c r="P190" s="29">
        <v>362723.29100000003</v>
      </c>
      <c r="Q190" s="30">
        <v>738008.76</v>
      </c>
      <c r="R190" s="30">
        <v>782095.92099999997</v>
      </c>
      <c r="S190" s="30">
        <v>812001.06599999999</v>
      </c>
      <c r="T190" s="30">
        <v>759761.2919999999</v>
      </c>
      <c r="U190" s="30">
        <v>865160.12399999995</v>
      </c>
      <c r="V190" s="30">
        <v>755267.43299999996</v>
      </c>
      <c r="W190" s="30">
        <v>467808.54499999998</v>
      </c>
      <c r="X190" s="30">
        <v>230865.83000000002</v>
      </c>
      <c r="Y190" s="30">
        <v>105646.70300000001</v>
      </c>
      <c r="Z190" s="31">
        <v>5878403</v>
      </c>
      <c r="AA190" s="32">
        <f t="shared" si="14"/>
        <v>3.1428916429852307E-4</v>
      </c>
      <c r="AB190" s="32">
        <f t="shared" si="14"/>
        <v>6.9104870787712602E-5</v>
      </c>
      <c r="AC190" s="32">
        <f t="shared" si="14"/>
        <v>4.3472928431242903E-5</v>
      </c>
      <c r="AD190" s="32">
        <f t="shared" si="14"/>
        <v>6.650237574934415E-5</v>
      </c>
      <c r="AE190" s="32">
        <f t="shared" si="14"/>
        <v>7.2391158353458213E-5</v>
      </c>
      <c r="AF190" s="32">
        <f t="shared" si="13"/>
        <v>7.9754022505087172E-5</v>
      </c>
      <c r="AG190" s="32">
        <f t="shared" si="13"/>
        <v>7.9442059035531064E-5</v>
      </c>
      <c r="AH190" s="32">
        <f t="shared" si="13"/>
        <v>3.3133212647922026E-4</v>
      </c>
      <c r="AI190" s="32">
        <f t="shared" si="13"/>
        <v>1.1002061240504928E-3</v>
      </c>
      <c r="AJ190" s="32">
        <f t="shared" si="13"/>
        <v>4.1648247177197752E-3</v>
      </c>
      <c r="AK190" s="33">
        <f t="shared" si="12"/>
        <v>2.2676226859573935E-4</v>
      </c>
    </row>
    <row r="191" spans="1:37" x14ac:dyDescent="0.3">
      <c r="A191" t="s">
        <v>59</v>
      </c>
      <c r="B191" s="1">
        <v>2017</v>
      </c>
      <c r="C191" s="1" t="str">
        <f t="shared" si="10"/>
        <v>Maryland, 2017</v>
      </c>
      <c r="D191" s="27">
        <v>101</v>
      </c>
      <c r="E191" s="27">
        <v>42</v>
      </c>
      <c r="F191" s="27">
        <v>63</v>
      </c>
      <c r="G191" s="27">
        <v>48</v>
      </c>
      <c r="H191" s="27">
        <v>67</v>
      </c>
      <c r="I191" s="27">
        <v>55</v>
      </c>
      <c r="J191" s="27">
        <v>74</v>
      </c>
      <c r="K191" s="27">
        <v>158</v>
      </c>
      <c r="L191" s="27">
        <v>235</v>
      </c>
      <c r="M191" s="27">
        <v>442</v>
      </c>
      <c r="N191" s="27">
        <v>58</v>
      </c>
      <c r="O191" s="28">
        <v>1343</v>
      </c>
      <c r="P191" s="29">
        <v>363031</v>
      </c>
      <c r="Q191" s="30">
        <v>741392</v>
      </c>
      <c r="R191" s="30">
        <v>772879</v>
      </c>
      <c r="S191" s="30">
        <v>818802</v>
      </c>
      <c r="T191" s="30">
        <v>759833</v>
      </c>
      <c r="U191" s="30">
        <v>857032</v>
      </c>
      <c r="V191" s="30">
        <v>771764</v>
      </c>
      <c r="W191" s="30">
        <v>489182</v>
      </c>
      <c r="X191" s="30">
        <v>240311</v>
      </c>
      <c r="Y191" s="30">
        <v>106981</v>
      </c>
      <c r="Z191" s="31">
        <v>5921207</v>
      </c>
      <c r="AA191" s="32">
        <f t="shared" si="14"/>
        <v>2.7821315535036953E-4</v>
      </c>
      <c r="AB191" s="32">
        <f t="shared" si="14"/>
        <v>5.6650193150182359E-5</v>
      </c>
      <c r="AC191" s="32">
        <f t="shared" si="14"/>
        <v>8.1513406367620289E-5</v>
      </c>
      <c r="AD191" s="32">
        <f t="shared" si="14"/>
        <v>5.8622231015556872E-5</v>
      </c>
      <c r="AE191" s="32">
        <f t="shared" si="14"/>
        <v>8.8177270531814228E-5</v>
      </c>
      <c r="AF191" s="32">
        <f t="shared" si="13"/>
        <v>6.4174966629017348E-5</v>
      </c>
      <c r="AG191" s="32">
        <f t="shared" si="13"/>
        <v>9.5884234040457958E-5</v>
      </c>
      <c r="AH191" s="32">
        <f t="shared" si="13"/>
        <v>3.2298817209136884E-4</v>
      </c>
      <c r="AI191" s="32">
        <f t="shared" si="13"/>
        <v>9.7789947193428523E-4</v>
      </c>
      <c r="AJ191" s="32">
        <f t="shared" si="13"/>
        <v>4.1315747656125853E-3</v>
      </c>
      <c r="AK191" s="33">
        <f t="shared" si="12"/>
        <v>2.2681186454045604E-4</v>
      </c>
    </row>
    <row r="192" spans="1:37" x14ac:dyDescent="0.3">
      <c r="A192" t="s">
        <v>60</v>
      </c>
      <c r="B192" s="1">
        <v>2009</v>
      </c>
      <c r="C192" s="1" t="str">
        <f t="shared" si="10"/>
        <v>Massachusetts, 2009</v>
      </c>
      <c r="D192" s="27">
        <v>92</v>
      </c>
      <c r="E192" s="27">
        <v>55</v>
      </c>
      <c r="F192" s="27">
        <v>51</v>
      </c>
      <c r="G192" s="27">
        <v>45</v>
      </c>
      <c r="H192" s="27">
        <v>60</v>
      </c>
      <c r="I192" s="27">
        <v>75</v>
      </c>
      <c r="J192" s="27">
        <v>45</v>
      </c>
      <c r="K192" s="27">
        <v>111</v>
      </c>
      <c r="L192" s="27">
        <v>362</v>
      </c>
      <c r="M192" s="27">
        <v>706</v>
      </c>
      <c r="N192" s="27">
        <v>48</v>
      </c>
      <c r="O192" s="28">
        <v>1650</v>
      </c>
      <c r="P192" s="29">
        <v>384502.80899999995</v>
      </c>
      <c r="Q192" s="30">
        <v>800466.30099999998</v>
      </c>
      <c r="R192" s="30">
        <v>909982.86399999983</v>
      </c>
      <c r="S192" s="30">
        <v>839232.3339999998</v>
      </c>
      <c r="T192" s="30">
        <v>975467.11399999971</v>
      </c>
      <c r="U192" s="30">
        <v>998066.1379999998</v>
      </c>
      <c r="V192" s="30">
        <v>732768.84299999999</v>
      </c>
      <c r="W192" s="30">
        <v>426481.35700000008</v>
      </c>
      <c r="X192" s="30">
        <v>305548.37599999999</v>
      </c>
      <c r="Y192" s="30">
        <v>136968.65</v>
      </c>
      <c r="Z192" s="31">
        <v>6511176</v>
      </c>
      <c r="AA192" s="32">
        <f t="shared" si="14"/>
        <v>2.3927003352529477E-4</v>
      </c>
      <c r="AB192" s="32">
        <f t="shared" si="14"/>
        <v>6.8709950601655628E-5</v>
      </c>
      <c r="AC192" s="32">
        <f t="shared" si="14"/>
        <v>5.6045011414632541E-5</v>
      </c>
      <c r="AD192" s="32">
        <f t="shared" si="14"/>
        <v>5.3620431645571003E-5</v>
      </c>
      <c r="AE192" s="32">
        <f t="shared" si="14"/>
        <v>6.150899311609188E-5</v>
      </c>
      <c r="AF192" s="32">
        <f t="shared" si="13"/>
        <v>7.514532068014116E-5</v>
      </c>
      <c r="AG192" s="32">
        <f t="shared" si="13"/>
        <v>6.1410907996261522E-5</v>
      </c>
      <c r="AH192" s="32">
        <f t="shared" si="13"/>
        <v>2.6026929003604719E-4</v>
      </c>
      <c r="AI192" s="32">
        <f t="shared" si="13"/>
        <v>1.1847551105949913E-3</v>
      </c>
      <c r="AJ192" s="32">
        <f t="shared" si="13"/>
        <v>5.1544641784817182E-3</v>
      </c>
      <c r="AK192" s="33">
        <f t="shared" si="12"/>
        <v>2.5341044382765879E-4</v>
      </c>
    </row>
    <row r="193" spans="1:37" x14ac:dyDescent="0.3">
      <c r="A193" t="s">
        <v>60</v>
      </c>
      <c r="B193" s="1">
        <v>2010</v>
      </c>
      <c r="C193" s="1" t="str">
        <f t="shared" si="10"/>
        <v>Massachusetts, 2010</v>
      </c>
      <c r="D193" s="27">
        <v>113</v>
      </c>
      <c r="E193" s="27">
        <v>47</v>
      </c>
      <c r="F193" s="27">
        <v>50</v>
      </c>
      <c r="G193" s="27">
        <v>53</v>
      </c>
      <c r="H193" s="27">
        <v>44</v>
      </c>
      <c r="I193" s="27">
        <v>49</v>
      </c>
      <c r="J193" s="27">
        <v>74</v>
      </c>
      <c r="K193" s="27">
        <v>108</v>
      </c>
      <c r="L193" s="27">
        <v>340</v>
      </c>
      <c r="M193" s="27">
        <v>703</v>
      </c>
      <c r="N193" s="27">
        <v>57</v>
      </c>
      <c r="O193" s="28">
        <v>1638</v>
      </c>
      <c r="P193" s="29">
        <v>367201.01999999996</v>
      </c>
      <c r="Q193" s="30">
        <v>796736.58400000003</v>
      </c>
      <c r="R193" s="30">
        <v>928069.52399999998</v>
      </c>
      <c r="S193" s="30">
        <v>827723.375</v>
      </c>
      <c r="T193" s="30">
        <v>931406.21899999992</v>
      </c>
      <c r="U193" s="30">
        <v>990184.18700000015</v>
      </c>
      <c r="V193" s="30">
        <v>755561.76800000004</v>
      </c>
      <c r="W193" s="30">
        <v>430182.69400000002</v>
      </c>
      <c r="X193" s="30">
        <v>306678.924</v>
      </c>
      <c r="Y193" s="30">
        <v>137755.10800000001</v>
      </c>
      <c r="Z193" s="31">
        <v>6476616</v>
      </c>
      <c r="AA193" s="32">
        <f t="shared" si="14"/>
        <v>3.077333499781673E-4</v>
      </c>
      <c r="AB193" s="32">
        <f t="shared" si="14"/>
        <v>5.8990638742904769E-5</v>
      </c>
      <c r="AC193" s="32">
        <f t="shared" si="14"/>
        <v>5.3875274111468402E-5</v>
      </c>
      <c r="AD193" s="32">
        <f t="shared" si="14"/>
        <v>6.4031053852985613E-5</v>
      </c>
      <c r="AE193" s="32">
        <f t="shared" si="14"/>
        <v>4.7240397479029503E-5</v>
      </c>
      <c r="AF193" s="32">
        <f t="shared" si="13"/>
        <v>4.9485742797466017E-5</v>
      </c>
      <c r="AG193" s="32">
        <f t="shared" si="13"/>
        <v>9.7940371170289275E-5</v>
      </c>
      <c r="AH193" s="32">
        <f t="shared" si="13"/>
        <v>2.5105612454042608E-4</v>
      </c>
      <c r="AI193" s="32">
        <f t="shared" si="13"/>
        <v>1.108651339861881E-3</v>
      </c>
      <c r="AJ193" s="32">
        <f t="shared" si="13"/>
        <v>5.1032590384960533E-3</v>
      </c>
      <c r="AK193" s="33">
        <f t="shared" si="12"/>
        <v>2.5290985292319323E-4</v>
      </c>
    </row>
    <row r="194" spans="1:37" x14ac:dyDescent="0.3">
      <c r="A194" t="s">
        <v>60</v>
      </c>
      <c r="B194" s="1">
        <v>2011</v>
      </c>
      <c r="C194" s="1" t="str">
        <f t="shared" si="10"/>
        <v>Massachusetts, 2011</v>
      </c>
      <c r="D194" s="27">
        <v>117</v>
      </c>
      <c r="E194" s="27">
        <v>32</v>
      </c>
      <c r="F194" s="27">
        <v>55</v>
      </c>
      <c r="G194" s="27">
        <v>63</v>
      </c>
      <c r="H194" s="27">
        <v>54</v>
      </c>
      <c r="I194" s="27">
        <v>48</v>
      </c>
      <c r="J194" s="27">
        <v>65</v>
      </c>
      <c r="K194" s="27">
        <v>101</v>
      </c>
      <c r="L194" s="27">
        <v>318</v>
      </c>
      <c r="M194" s="27">
        <v>838</v>
      </c>
      <c r="N194" s="27">
        <v>67</v>
      </c>
      <c r="O194" s="28">
        <v>1758</v>
      </c>
      <c r="P194" s="29">
        <v>366558.07400000002</v>
      </c>
      <c r="Q194" s="30">
        <v>792131.49</v>
      </c>
      <c r="R194" s="30">
        <v>933865.69000000018</v>
      </c>
      <c r="S194" s="30">
        <v>836786.98200000008</v>
      </c>
      <c r="T194" s="30">
        <v>909779.67800000007</v>
      </c>
      <c r="U194" s="30">
        <v>998227.6889999999</v>
      </c>
      <c r="V194" s="30">
        <v>780760.66099999996</v>
      </c>
      <c r="W194" s="30">
        <v>445905.19899999996</v>
      </c>
      <c r="X194" s="30">
        <v>307181.51</v>
      </c>
      <c r="Y194" s="30">
        <v>141603.038</v>
      </c>
      <c r="Z194" s="31">
        <v>6511549</v>
      </c>
      <c r="AA194" s="32">
        <f t="shared" si="14"/>
        <v>3.1918543963104737E-4</v>
      </c>
      <c r="AB194" s="32">
        <f t="shared" si="14"/>
        <v>4.0397333528553449E-5</v>
      </c>
      <c r="AC194" s="32">
        <f t="shared" si="14"/>
        <v>5.8894978784368865E-5</v>
      </c>
      <c r="AD194" s="32">
        <f t="shared" si="14"/>
        <v>7.5287978129659759E-5</v>
      </c>
      <c r="AE194" s="32">
        <f t="shared" si="14"/>
        <v>5.9355029910879143E-5</v>
      </c>
      <c r="AF194" s="32">
        <f t="shared" si="13"/>
        <v>4.8085221967831036E-5</v>
      </c>
      <c r="AG194" s="32">
        <f t="shared" si="13"/>
        <v>8.3252145307561809E-5</v>
      </c>
      <c r="AH194" s="32">
        <f t="shared" si="13"/>
        <v>2.265055447357545E-4</v>
      </c>
      <c r="AI194" s="32">
        <f t="shared" si="13"/>
        <v>1.0352185585649344E-3</v>
      </c>
      <c r="AJ194" s="32">
        <f t="shared" si="13"/>
        <v>5.9179521275525178E-3</v>
      </c>
      <c r="AK194" s="33">
        <f t="shared" si="12"/>
        <v>2.6998184302997642E-4</v>
      </c>
    </row>
    <row r="195" spans="1:37" x14ac:dyDescent="0.3">
      <c r="A195" t="s">
        <v>60</v>
      </c>
      <c r="B195" s="1">
        <v>2012</v>
      </c>
      <c r="C195" s="1" t="str">
        <f t="shared" si="10"/>
        <v>Massachusetts, 2012</v>
      </c>
      <c r="D195" s="27">
        <v>126</v>
      </c>
      <c r="E195" s="27">
        <v>50</v>
      </c>
      <c r="F195" s="27">
        <v>53</v>
      </c>
      <c r="G195" s="27">
        <v>67</v>
      </c>
      <c r="H195" s="27">
        <v>47</v>
      </c>
      <c r="I195" s="27">
        <v>52</v>
      </c>
      <c r="J195" s="27">
        <v>49</v>
      </c>
      <c r="K195" s="27">
        <v>124</v>
      </c>
      <c r="L195" s="27">
        <v>329</v>
      </c>
      <c r="M195" s="27">
        <v>762</v>
      </c>
      <c r="N195" s="27">
        <v>59</v>
      </c>
      <c r="O195" s="28">
        <v>1718</v>
      </c>
      <c r="P195" s="29">
        <v>366924.87400000007</v>
      </c>
      <c r="Q195" s="30">
        <v>788154.40099999995</v>
      </c>
      <c r="R195" s="30">
        <v>935330.125</v>
      </c>
      <c r="S195" s="30">
        <v>851799.02499999991</v>
      </c>
      <c r="T195" s="30">
        <v>887334.43500000006</v>
      </c>
      <c r="U195" s="30">
        <v>1003879.643</v>
      </c>
      <c r="V195" s="30">
        <v>804376.93599999999</v>
      </c>
      <c r="W195" s="30">
        <v>463308.01299999998</v>
      </c>
      <c r="X195" s="30">
        <v>301728.52</v>
      </c>
      <c r="Y195" s="30">
        <v>144422.84900000002</v>
      </c>
      <c r="Z195" s="31">
        <v>6544014</v>
      </c>
      <c r="AA195" s="32">
        <f t="shared" si="14"/>
        <v>3.4339454457372104E-4</v>
      </c>
      <c r="AB195" s="32">
        <f t="shared" si="14"/>
        <v>6.3439346321686024E-5</v>
      </c>
      <c r="AC195" s="32">
        <f t="shared" si="14"/>
        <v>5.6664485173082602E-5</v>
      </c>
      <c r="AD195" s="32">
        <f t="shared" si="14"/>
        <v>7.865705176171105E-5</v>
      </c>
      <c r="AE195" s="32">
        <f t="shared" si="14"/>
        <v>5.296762770172443E-5</v>
      </c>
      <c r="AF195" s="32">
        <f t="shared" si="13"/>
        <v>5.1799038223947726E-5</v>
      </c>
      <c r="AG195" s="32">
        <f t="shared" si="13"/>
        <v>6.0916714300222057E-5</v>
      </c>
      <c r="AH195" s="32">
        <f t="shared" si="13"/>
        <v>2.6764052535391828E-4</v>
      </c>
      <c r="AI195" s="32">
        <f t="shared" si="13"/>
        <v>1.0903841638834804E-3</v>
      </c>
      <c r="AJ195" s="32">
        <f t="shared" si="13"/>
        <v>5.2761734398412254E-3</v>
      </c>
      <c r="AK195" s="33">
        <f t="shared" si="12"/>
        <v>2.6253000069987627E-4</v>
      </c>
    </row>
    <row r="196" spans="1:37" x14ac:dyDescent="0.3">
      <c r="A196" t="s">
        <v>60</v>
      </c>
      <c r="B196" s="1">
        <v>2013</v>
      </c>
      <c r="C196" s="1" t="str">
        <f t="shared" ref="C196:C259" si="15">A196&amp;", "&amp;B196</f>
        <v>Massachusetts, 2013</v>
      </c>
      <c r="D196" s="27">
        <v>97</v>
      </c>
      <c r="E196" s="27">
        <v>61</v>
      </c>
      <c r="F196" s="27">
        <v>55</v>
      </c>
      <c r="G196" s="27">
        <v>49</v>
      </c>
      <c r="H196" s="27">
        <v>48</v>
      </c>
      <c r="I196" s="27">
        <v>47</v>
      </c>
      <c r="J196" s="27">
        <v>86</v>
      </c>
      <c r="K196" s="27">
        <v>149</v>
      </c>
      <c r="L196" s="27">
        <v>363</v>
      </c>
      <c r="M196" s="27">
        <v>883</v>
      </c>
      <c r="N196" s="27">
        <v>38</v>
      </c>
      <c r="O196" s="28">
        <v>1876</v>
      </c>
      <c r="P196" s="29">
        <v>365642.701</v>
      </c>
      <c r="Q196" s="30">
        <v>786550.01900000009</v>
      </c>
      <c r="R196" s="30">
        <v>943030.772</v>
      </c>
      <c r="S196" s="30">
        <v>872990.95099999988</v>
      </c>
      <c r="T196" s="30">
        <v>870486.68499999994</v>
      </c>
      <c r="U196" s="30">
        <v>1005747.6549999999</v>
      </c>
      <c r="V196" s="30">
        <v>829783.47400000005</v>
      </c>
      <c r="W196" s="30">
        <v>486699.73300000001</v>
      </c>
      <c r="X196" s="30">
        <v>300954.78199999995</v>
      </c>
      <c r="Y196" s="30">
        <v>148539.245</v>
      </c>
      <c r="Z196" s="31">
        <v>6605028</v>
      </c>
      <c r="AA196" s="32">
        <f t="shared" si="14"/>
        <v>2.6528630199567418E-4</v>
      </c>
      <c r="AB196" s="32">
        <f t="shared" si="14"/>
        <v>7.7553872641887239E-5</v>
      </c>
      <c r="AC196" s="32">
        <f t="shared" si="14"/>
        <v>5.8322593104098625E-5</v>
      </c>
      <c r="AD196" s="32">
        <f t="shared" si="14"/>
        <v>5.6128875040309562E-5</v>
      </c>
      <c r="AE196" s="32">
        <f t="shared" si="14"/>
        <v>5.5141567156768177E-5</v>
      </c>
      <c r="AF196" s="32">
        <f t="shared" si="13"/>
        <v>4.6731404012072993E-5</v>
      </c>
      <c r="AG196" s="32">
        <f t="shared" si="13"/>
        <v>1.0364149527518789E-4</v>
      </c>
      <c r="AH196" s="32">
        <f t="shared" si="13"/>
        <v>3.061435827826928E-4</v>
      </c>
      <c r="AI196" s="32">
        <f t="shared" si="13"/>
        <v>1.20616126312291E-3</v>
      </c>
      <c r="AJ196" s="32">
        <f t="shared" si="13"/>
        <v>5.9445569418371562E-3</v>
      </c>
      <c r="AK196" s="33">
        <f t="shared" ref="AK196:AK259" si="16">O196/Z196</f>
        <v>2.8402604803492125E-4</v>
      </c>
    </row>
    <row r="197" spans="1:37" x14ac:dyDescent="0.3">
      <c r="A197" t="s">
        <v>60</v>
      </c>
      <c r="B197" s="1">
        <v>2014</v>
      </c>
      <c r="C197" s="1" t="str">
        <f t="shared" si="15"/>
        <v>Massachusetts, 2014</v>
      </c>
      <c r="D197" s="27">
        <v>121</v>
      </c>
      <c r="E197" s="27">
        <v>71</v>
      </c>
      <c r="F197" s="27">
        <v>50</v>
      </c>
      <c r="G197" s="27">
        <v>55</v>
      </c>
      <c r="H197" s="27">
        <v>51</v>
      </c>
      <c r="I197" s="27">
        <v>54</v>
      </c>
      <c r="J197" s="27">
        <v>100</v>
      </c>
      <c r="K197" s="27">
        <v>161</v>
      </c>
      <c r="L197" s="27">
        <v>310</v>
      </c>
      <c r="M197" s="27">
        <v>720</v>
      </c>
      <c r="N197" s="27">
        <v>66</v>
      </c>
      <c r="O197" s="28">
        <v>1759</v>
      </c>
      <c r="P197" s="29">
        <v>364925.83100000001</v>
      </c>
      <c r="Q197" s="30">
        <v>783824.97100000002</v>
      </c>
      <c r="R197" s="30">
        <v>947607.31400000001</v>
      </c>
      <c r="S197" s="30">
        <v>891600.23899999994</v>
      </c>
      <c r="T197" s="30">
        <v>856370.799</v>
      </c>
      <c r="U197" s="30">
        <v>1001985.839</v>
      </c>
      <c r="V197" s="30">
        <v>850931.33900000004</v>
      </c>
      <c r="W197" s="30">
        <v>510335.59800000006</v>
      </c>
      <c r="X197" s="30">
        <v>299612.60499999992</v>
      </c>
      <c r="Y197" s="30">
        <v>151092.84199999998</v>
      </c>
      <c r="Z197" s="31">
        <v>6657101</v>
      </c>
      <c r="AA197" s="32">
        <f t="shared" si="14"/>
        <v>3.3157422610623579E-4</v>
      </c>
      <c r="AB197" s="32">
        <f t="shared" si="14"/>
        <v>9.0581446913356886E-5</v>
      </c>
      <c r="AC197" s="32">
        <f t="shared" si="14"/>
        <v>5.2764472436311316E-5</v>
      </c>
      <c r="AD197" s="32">
        <f t="shared" si="14"/>
        <v>6.1686838556354405E-5</v>
      </c>
      <c r="AE197" s="32">
        <f t="shared" si="14"/>
        <v>5.9553642019968036E-5</v>
      </c>
      <c r="AF197" s="32">
        <f t="shared" si="13"/>
        <v>5.3892977224002462E-5</v>
      </c>
      <c r="AG197" s="32">
        <f t="shared" si="13"/>
        <v>1.1751829485739506E-4</v>
      </c>
      <c r="AH197" s="32">
        <f t="shared" si="13"/>
        <v>3.1547867840487189E-4</v>
      </c>
      <c r="AI197" s="32">
        <f t="shared" si="13"/>
        <v>1.0346694191988354E-3</v>
      </c>
      <c r="AJ197" s="32">
        <f t="shared" si="13"/>
        <v>4.7652819979387253E-3</v>
      </c>
      <c r="AK197" s="33">
        <f t="shared" si="16"/>
        <v>2.6422912916598384E-4</v>
      </c>
    </row>
    <row r="198" spans="1:37" x14ac:dyDescent="0.3">
      <c r="A198" t="s">
        <v>60</v>
      </c>
      <c r="B198" s="1">
        <v>2015</v>
      </c>
      <c r="C198" s="1" t="str">
        <f t="shared" si="15"/>
        <v>Massachusetts, 2015</v>
      </c>
      <c r="D198" s="27">
        <v>104</v>
      </c>
      <c r="E198" s="27">
        <v>58</v>
      </c>
      <c r="F198" s="27">
        <v>37</v>
      </c>
      <c r="G198" s="27">
        <v>44</v>
      </c>
      <c r="H198" s="27">
        <v>73</v>
      </c>
      <c r="I198" s="27">
        <v>49</v>
      </c>
      <c r="J198" s="27">
        <v>75</v>
      </c>
      <c r="K198" s="27">
        <v>178</v>
      </c>
      <c r="L198" s="27">
        <v>337</v>
      </c>
      <c r="M198" s="27">
        <v>868</v>
      </c>
      <c r="N198" s="27">
        <v>52</v>
      </c>
      <c r="O198" s="28">
        <v>1875</v>
      </c>
      <c r="P198" s="29">
        <v>363716.66799999995</v>
      </c>
      <c r="Q198" s="30">
        <v>776947.30599999987</v>
      </c>
      <c r="R198" s="30">
        <v>948497.68</v>
      </c>
      <c r="S198" s="30">
        <v>908255.66500000004</v>
      </c>
      <c r="T198" s="30">
        <v>847156.30299999996</v>
      </c>
      <c r="U198" s="30">
        <v>994198.30900000012</v>
      </c>
      <c r="V198" s="30">
        <v>865074.26399999997</v>
      </c>
      <c r="W198" s="30">
        <v>532939.72499999998</v>
      </c>
      <c r="X198" s="30">
        <v>293687.67</v>
      </c>
      <c r="Y198" s="30">
        <v>153639.87100000001</v>
      </c>
      <c r="Z198" s="31">
        <v>6688538</v>
      </c>
      <c r="AA198" s="32">
        <f t="shared" si="14"/>
        <v>2.8593685456284896E-4</v>
      </c>
      <c r="AB198" s="32">
        <f t="shared" si="14"/>
        <v>7.4651137280602156E-5</v>
      </c>
      <c r="AC198" s="32">
        <f t="shared" si="14"/>
        <v>3.9009056933064924E-5</v>
      </c>
      <c r="AD198" s="32">
        <f t="shared" si="14"/>
        <v>4.8444509289132811E-5</v>
      </c>
      <c r="AE198" s="32">
        <f t="shared" si="14"/>
        <v>8.6170639044398409E-5</v>
      </c>
      <c r="AF198" s="32">
        <f t="shared" si="13"/>
        <v>4.9285941804996566E-5</v>
      </c>
      <c r="AG198" s="32">
        <f t="shared" si="13"/>
        <v>8.6697758933676944E-5</v>
      </c>
      <c r="AH198" s="32">
        <f t="shared" si="13"/>
        <v>3.3399649463173345E-4</v>
      </c>
      <c r="AI198" s="32">
        <f t="shared" si="13"/>
        <v>1.1474775226348454E-3</v>
      </c>
      <c r="AJ198" s="32">
        <f t="shared" si="13"/>
        <v>5.6495751678937558E-3</v>
      </c>
      <c r="AK198" s="33">
        <f t="shared" si="16"/>
        <v>2.8033032031813228E-4</v>
      </c>
    </row>
    <row r="199" spans="1:37" x14ac:dyDescent="0.3">
      <c r="A199" t="s">
        <v>60</v>
      </c>
      <c r="B199" s="1">
        <v>2016</v>
      </c>
      <c r="C199" s="1" t="str">
        <f t="shared" si="15"/>
        <v>Massachusetts, 2016</v>
      </c>
      <c r="D199" s="27">
        <v>103</v>
      </c>
      <c r="E199" s="27">
        <v>55</v>
      </c>
      <c r="F199" s="27">
        <v>60</v>
      </c>
      <c r="G199" s="27">
        <v>41</v>
      </c>
      <c r="H199" s="27">
        <v>56</v>
      </c>
      <c r="I199" s="27">
        <v>68</v>
      </c>
      <c r="J199" s="27">
        <v>61</v>
      </c>
      <c r="K199" s="27">
        <v>159</v>
      </c>
      <c r="L199" s="27">
        <v>292</v>
      </c>
      <c r="M199" s="27">
        <v>654</v>
      </c>
      <c r="N199" s="27">
        <v>46</v>
      </c>
      <c r="O199" s="28">
        <v>1595</v>
      </c>
      <c r="P199" s="29">
        <v>363626.19200000004</v>
      </c>
      <c r="Q199" s="30">
        <v>776585.07900000003</v>
      </c>
      <c r="R199" s="30">
        <v>953980.64700000011</v>
      </c>
      <c r="S199" s="30">
        <v>926165.804</v>
      </c>
      <c r="T199" s="30">
        <v>838652.93599999999</v>
      </c>
      <c r="U199" s="30">
        <v>984369.01400000008</v>
      </c>
      <c r="V199" s="30">
        <v>883741.99599999981</v>
      </c>
      <c r="W199" s="30">
        <v>560636.9389999999</v>
      </c>
      <c r="X199" s="30">
        <v>300953.40399999998</v>
      </c>
      <c r="Y199" s="30">
        <v>155000.51</v>
      </c>
      <c r="Z199" s="31">
        <v>6741921</v>
      </c>
      <c r="AA199" s="32">
        <f t="shared" si="14"/>
        <v>2.8325792329063023E-4</v>
      </c>
      <c r="AB199" s="32">
        <f t="shared" si="14"/>
        <v>7.0822890482035637E-5</v>
      </c>
      <c r="AC199" s="32">
        <f t="shared" si="14"/>
        <v>6.2894357646230107E-5</v>
      </c>
      <c r="AD199" s="32">
        <f t="shared" si="14"/>
        <v>4.4268531425934613E-5</v>
      </c>
      <c r="AE199" s="32">
        <f t="shared" si="14"/>
        <v>6.6773748229029034E-5</v>
      </c>
      <c r="AF199" s="32">
        <f t="shared" si="13"/>
        <v>6.9079785154635109E-5</v>
      </c>
      <c r="AG199" s="32">
        <f t="shared" si="13"/>
        <v>6.9024670408443517E-5</v>
      </c>
      <c r="AH199" s="32">
        <f t="shared" si="13"/>
        <v>2.8360600049580397E-4</v>
      </c>
      <c r="AI199" s="32">
        <f t="shared" si="13"/>
        <v>9.7024986632149876E-4</v>
      </c>
      <c r="AJ199" s="32">
        <f t="shared" si="13"/>
        <v>4.2193409557168549E-3</v>
      </c>
      <c r="AK199" s="33">
        <f t="shared" si="16"/>
        <v>2.3657945561806495E-4</v>
      </c>
    </row>
    <row r="200" spans="1:37" x14ac:dyDescent="0.3">
      <c r="A200" t="s">
        <v>60</v>
      </c>
      <c r="B200" s="1">
        <v>2017</v>
      </c>
      <c r="C200" s="1" t="str">
        <f t="shared" si="15"/>
        <v>Massachusetts, 2017</v>
      </c>
      <c r="D200" s="27">
        <v>95</v>
      </c>
      <c r="E200" s="27">
        <v>54</v>
      </c>
      <c r="F200" s="27">
        <v>49</v>
      </c>
      <c r="G200" s="27">
        <v>55</v>
      </c>
      <c r="H200" s="27">
        <v>60</v>
      </c>
      <c r="I200" s="27">
        <v>68</v>
      </c>
      <c r="J200" s="27">
        <v>87</v>
      </c>
      <c r="K200" s="27">
        <v>169</v>
      </c>
      <c r="L200" s="27">
        <v>342</v>
      </c>
      <c r="M200" s="27">
        <v>791</v>
      </c>
      <c r="N200" s="27">
        <v>50</v>
      </c>
      <c r="O200" s="28">
        <v>1820</v>
      </c>
      <c r="P200" s="29">
        <v>362178</v>
      </c>
      <c r="Q200" s="30">
        <v>768161</v>
      </c>
      <c r="R200" s="30">
        <v>948103</v>
      </c>
      <c r="S200" s="30">
        <v>944797</v>
      </c>
      <c r="T200" s="30">
        <v>832458</v>
      </c>
      <c r="U200" s="30">
        <v>970215</v>
      </c>
      <c r="V200" s="30">
        <v>899033</v>
      </c>
      <c r="W200" s="30">
        <v>587173</v>
      </c>
      <c r="X200" s="30">
        <v>304260</v>
      </c>
      <c r="Y200" s="30">
        <v>154948</v>
      </c>
      <c r="Z200" s="31">
        <v>6771326</v>
      </c>
      <c r="AA200" s="32">
        <f t="shared" si="14"/>
        <v>2.6230196201867592E-4</v>
      </c>
      <c r="AB200" s="32">
        <f t="shared" si="14"/>
        <v>7.0297763099141976E-5</v>
      </c>
      <c r="AC200" s="32">
        <f t="shared" si="14"/>
        <v>5.1682148458553553E-5</v>
      </c>
      <c r="AD200" s="32">
        <f t="shared" si="14"/>
        <v>5.8213563336886125E-5</v>
      </c>
      <c r="AE200" s="32">
        <f t="shared" si="14"/>
        <v>7.2075708324023557E-5</v>
      </c>
      <c r="AF200" s="32">
        <f t="shared" si="13"/>
        <v>7.008755791242147E-5</v>
      </c>
      <c r="AG200" s="32">
        <f t="shared" si="13"/>
        <v>9.6770641344644747E-5</v>
      </c>
      <c r="AH200" s="32">
        <f t="shared" si="13"/>
        <v>2.8781977372937791E-4</v>
      </c>
      <c r="AI200" s="32">
        <f t="shared" si="13"/>
        <v>1.1240386511536186E-3</v>
      </c>
      <c r="AJ200" s="32">
        <f t="shared" si="13"/>
        <v>5.1049384309574822E-3</v>
      </c>
      <c r="AK200" s="33">
        <f t="shared" si="16"/>
        <v>2.6878044270797183E-4</v>
      </c>
    </row>
    <row r="201" spans="1:37" x14ac:dyDescent="0.3">
      <c r="A201" t="s">
        <v>61</v>
      </c>
      <c r="B201" s="1">
        <v>2009</v>
      </c>
      <c r="C201" s="1" t="str">
        <f t="shared" si="15"/>
        <v>Michigan, 2009</v>
      </c>
      <c r="D201" s="27">
        <v>92</v>
      </c>
      <c r="E201" s="27">
        <v>52</v>
      </c>
      <c r="F201" s="27">
        <v>47</v>
      </c>
      <c r="G201" s="27">
        <v>54</v>
      </c>
      <c r="H201" s="27">
        <v>75</v>
      </c>
      <c r="I201" s="27">
        <v>72</v>
      </c>
      <c r="J201" s="27">
        <v>135</v>
      </c>
      <c r="K201" s="27">
        <v>191</v>
      </c>
      <c r="L201" s="27">
        <v>417</v>
      </c>
      <c r="M201" s="27">
        <v>685</v>
      </c>
      <c r="N201" s="27">
        <v>51</v>
      </c>
      <c r="O201" s="28">
        <v>1871</v>
      </c>
      <c r="P201" s="29">
        <v>630769.59899999993</v>
      </c>
      <c r="Q201" s="30">
        <v>1351255.1359999999</v>
      </c>
      <c r="R201" s="30">
        <v>1434877.7389999998</v>
      </c>
      <c r="S201" s="30">
        <v>1225867.7009999997</v>
      </c>
      <c r="T201" s="30">
        <v>1415148.9690000003</v>
      </c>
      <c r="U201" s="30">
        <v>1528148.9680000003</v>
      </c>
      <c r="V201" s="30">
        <v>1135826.2409999999</v>
      </c>
      <c r="W201" s="30">
        <v>664946.86699999985</v>
      </c>
      <c r="X201" s="30">
        <v>444405.1540000001</v>
      </c>
      <c r="Y201" s="30">
        <v>173978.43300000002</v>
      </c>
      <c r="Z201" s="31">
        <v>10008213</v>
      </c>
      <c r="AA201" s="32">
        <f t="shared" si="14"/>
        <v>1.4585357339011516E-4</v>
      </c>
      <c r="AB201" s="32">
        <f t="shared" si="14"/>
        <v>3.8482739946455239E-5</v>
      </c>
      <c r="AC201" s="32">
        <f t="shared" si="14"/>
        <v>3.2755403978010983E-5</v>
      </c>
      <c r="AD201" s="32">
        <f t="shared" si="14"/>
        <v>4.4050430528473495E-5</v>
      </c>
      <c r="AE201" s="32">
        <f t="shared" si="14"/>
        <v>5.2997954026704297E-5</v>
      </c>
      <c r="AF201" s="32">
        <f t="shared" si="13"/>
        <v>4.7115825425208143E-5</v>
      </c>
      <c r="AG201" s="32">
        <f t="shared" si="13"/>
        <v>1.188562080421243E-4</v>
      </c>
      <c r="AH201" s="32">
        <f t="shared" si="13"/>
        <v>2.8724099545234801E-4</v>
      </c>
      <c r="AI201" s="32">
        <f t="shared" si="13"/>
        <v>9.3833295191711463E-4</v>
      </c>
      <c r="AJ201" s="32">
        <f t="shared" si="13"/>
        <v>3.9372696269772698E-3</v>
      </c>
      <c r="AK201" s="33">
        <f t="shared" si="16"/>
        <v>1.8694646087168609E-4</v>
      </c>
    </row>
    <row r="202" spans="1:37" x14ac:dyDescent="0.3">
      <c r="A202" t="s">
        <v>61</v>
      </c>
      <c r="B202" s="1">
        <v>2010</v>
      </c>
      <c r="C202" s="1" t="str">
        <f t="shared" si="15"/>
        <v>Michigan, 2010</v>
      </c>
      <c r="D202" s="27">
        <v>117</v>
      </c>
      <c r="E202" s="27">
        <v>59</v>
      </c>
      <c r="F202" s="27">
        <v>36</v>
      </c>
      <c r="G202" s="27">
        <v>46</v>
      </c>
      <c r="H202" s="27">
        <v>67</v>
      </c>
      <c r="I202" s="27">
        <v>33</v>
      </c>
      <c r="J202" s="27">
        <v>91</v>
      </c>
      <c r="K202" s="27">
        <v>193</v>
      </c>
      <c r="L202" s="27">
        <v>433</v>
      </c>
      <c r="M202" s="27">
        <v>643</v>
      </c>
      <c r="N202" s="27">
        <v>49</v>
      </c>
      <c r="O202" s="28">
        <v>1767</v>
      </c>
      <c r="P202" s="29">
        <v>614519.55900000001</v>
      </c>
      <c r="Q202" s="30">
        <v>1350715.5209999997</v>
      </c>
      <c r="R202" s="30">
        <v>1423352.9849999999</v>
      </c>
      <c r="S202" s="30">
        <v>1186565.9419999998</v>
      </c>
      <c r="T202" s="30">
        <v>1354684.4039999999</v>
      </c>
      <c r="U202" s="30">
        <v>1516353.7960000001</v>
      </c>
      <c r="V202" s="30">
        <v>1179079.1800000004</v>
      </c>
      <c r="W202" s="30">
        <v>683333.01600000006</v>
      </c>
      <c r="X202" s="30">
        <v>451860.70299999998</v>
      </c>
      <c r="Y202" s="30">
        <v>178703.78200000001</v>
      </c>
      <c r="Z202" s="31">
        <v>9937232</v>
      </c>
      <c r="AA202" s="32">
        <f t="shared" si="14"/>
        <v>1.9039263809665007E-4</v>
      </c>
      <c r="AB202" s="32">
        <f t="shared" si="14"/>
        <v>4.3680552331492766E-5</v>
      </c>
      <c r="AC202" s="32">
        <f t="shared" si="14"/>
        <v>2.5292390840069796E-5</v>
      </c>
      <c r="AD202" s="32">
        <f t="shared" si="14"/>
        <v>3.8767335528327517E-5</v>
      </c>
      <c r="AE202" s="32">
        <f t="shared" si="14"/>
        <v>4.9458013838623925E-5</v>
      </c>
      <c r="AF202" s="32">
        <f t="shared" si="13"/>
        <v>2.1762731156179332E-5</v>
      </c>
      <c r="AG202" s="32">
        <f t="shared" si="13"/>
        <v>7.7178871057667197E-5</v>
      </c>
      <c r="AH202" s="32">
        <f t="shared" si="13"/>
        <v>2.8243915555223223E-4</v>
      </c>
      <c r="AI202" s="32">
        <f t="shared" si="13"/>
        <v>9.5825991754808562E-4</v>
      </c>
      <c r="AJ202" s="32">
        <f t="shared" si="13"/>
        <v>3.5981331385588691E-3</v>
      </c>
      <c r="AK202" s="33">
        <f t="shared" si="16"/>
        <v>1.7781611619815257E-4</v>
      </c>
    </row>
    <row r="203" spans="1:37" x14ac:dyDescent="0.3">
      <c r="A203" t="s">
        <v>61</v>
      </c>
      <c r="B203" s="1">
        <v>2011</v>
      </c>
      <c r="C203" s="1" t="str">
        <f t="shared" si="15"/>
        <v>Michigan, 2011</v>
      </c>
      <c r="D203" s="27">
        <v>102</v>
      </c>
      <c r="E203" s="27">
        <v>76</v>
      </c>
      <c r="F203" s="27">
        <v>71</v>
      </c>
      <c r="G203" s="27">
        <v>56</v>
      </c>
      <c r="H203" s="27">
        <v>63</v>
      </c>
      <c r="I203" s="27">
        <v>59</v>
      </c>
      <c r="J203" s="27">
        <v>142</v>
      </c>
      <c r="K203" s="27">
        <v>222</v>
      </c>
      <c r="L203" s="27">
        <v>439</v>
      </c>
      <c r="M203" s="27">
        <v>805</v>
      </c>
      <c r="N203" s="27">
        <v>64</v>
      </c>
      <c r="O203" s="28">
        <v>2099</v>
      </c>
      <c r="P203" s="29">
        <v>602820.87300000002</v>
      </c>
      <c r="Q203" s="30">
        <v>1324361.9970000002</v>
      </c>
      <c r="R203" s="30">
        <v>1411996.1569999997</v>
      </c>
      <c r="S203" s="30">
        <v>1172793.598</v>
      </c>
      <c r="T203" s="30">
        <v>1308997.6430000004</v>
      </c>
      <c r="U203" s="30">
        <v>1501751.0630000001</v>
      </c>
      <c r="V203" s="30">
        <v>1211315.2860000001</v>
      </c>
      <c r="W203" s="30">
        <v>698145.30699999991</v>
      </c>
      <c r="X203" s="30">
        <v>447328.02399999986</v>
      </c>
      <c r="Y203" s="30">
        <v>183201.42499999996</v>
      </c>
      <c r="Z203" s="31">
        <v>9857020</v>
      </c>
      <c r="AA203" s="32">
        <f t="shared" si="14"/>
        <v>1.6920449269181161E-4</v>
      </c>
      <c r="AB203" s="32">
        <f t="shared" si="14"/>
        <v>5.7386122655405664E-5</v>
      </c>
      <c r="AC203" s="32">
        <f t="shared" si="14"/>
        <v>5.0283422973933784E-5</v>
      </c>
      <c r="AD203" s="32">
        <f t="shared" si="14"/>
        <v>4.7749237457894107E-5</v>
      </c>
      <c r="AE203" s="32">
        <f t="shared" si="14"/>
        <v>4.8128428906575184E-5</v>
      </c>
      <c r="AF203" s="32">
        <f t="shared" si="13"/>
        <v>3.9287470109818056E-5</v>
      </c>
      <c r="AG203" s="32">
        <f t="shared" si="13"/>
        <v>1.1722794357603772E-4</v>
      </c>
      <c r="AH203" s="32">
        <f t="shared" si="13"/>
        <v>3.179853789377403E-4</v>
      </c>
      <c r="AI203" s="32">
        <f t="shared" si="13"/>
        <v>9.8138273581536246E-4</v>
      </c>
      <c r="AJ203" s="32">
        <f t="shared" si="13"/>
        <v>4.3940706247235801E-3</v>
      </c>
      <c r="AK203" s="33">
        <f t="shared" si="16"/>
        <v>2.1294468307865867E-4</v>
      </c>
    </row>
    <row r="204" spans="1:37" x14ac:dyDescent="0.3">
      <c r="A204" t="s">
        <v>61</v>
      </c>
      <c r="B204" s="1">
        <v>2012</v>
      </c>
      <c r="C204" s="1" t="str">
        <f t="shared" si="15"/>
        <v>Michigan, 2012</v>
      </c>
      <c r="D204" s="27">
        <v>120</v>
      </c>
      <c r="E204" s="27">
        <v>44</v>
      </c>
      <c r="F204" s="27">
        <v>57</v>
      </c>
      <c r="G204" s="27">
        <v>55</v>
      </c>
      <c r="H204" s="27">
        <v>48</v>
      </c>
      <c r="I204" s="27">
        <v>55</v>
      </c>
      <c r="J204" s="27">
        <v>111</v>
      </c>
      <c r="K204" s="27">
        <v>181</v>
      </c>
      <c r="L204" s="27">
        <v>435</v>
      </c>
      <c r="M204" s="27">
        <v>717</v>
      </c>
      <c r="N204" s="27">
        <v>59</v>
      </c>
      <c r="O204" s="28">
        <v>1882</v>
      </c>
      <c r="P204" s="29">
        <v>588901.14100000018</v>
      </c>
      <c r="Q204" s="30">
        <v>1298488.1599999999</v>
      </c>
      <c r="R204" s="30">
        <v>1396968.0350000006</v>
      </c>
      <c r="S204" s="30">
        <v>1163831.3329999999</v>
      </c>
      <c r="T204" s="30">
        <v>1268300.406</v>
      </c>
      <c r="U204" s="30">
        <v>1478501.4020000007</v>
      </c>
      <c r="V204" s="30">
        <v>1236103.7220000001</v>
      </c>
      <c r="W204" s="30">
        <v>718726.22599999979</v>
      </c>
      <c r="X204" s="30">
        <v>440941.61700000003</v>
      </c>
      <c r="Y204" s="30">
        <v>188084.62900000007</v>
      </c>
      <c r="Z204" s="31">
        <v>9777785</v>
      </c>
      <c r="AA204" s="32">
        <f t="shared" si="14"/>
        <v>2.0376934538831188E-4</v>
      </c>
      <c r="AB204" s="32">
        <f t="shared" si="14"/>
        <v>3.3885561189868689E-5</v>
      </c>
      <c r="AC204" s="32">
        <f t="shared" si="14"/>
        <v>4.0802651579640456E-5</v>
      </c>
      <c r="AD204" s="32">
        <f t="shared" si="14"/>
        <v>4.7257706886295014E-5</v>
      </c>
      <c r="AE204" s="32">
        <f t="shared" si="14"/>
        <v>3.7845923389225821E-5</v>
      </c>
      <c r="AF204" s="32">
        <f t="shared" si="13"/>
        <v>3.7199829452714968E-5</v>
      </c>
      <c r="AG204" s="32">
        <f t="shared" si="13"/>
        <v>8.9798289596930756E-5</v>
      </c>
      <c r="AH204" s="32">
        <f t="shared" si="13"/>
        <v>2.5183441685067999E-4</v>
      </c>
      <c r="AI204" s="32">
        <f t="shared" si="13"/>
        <v>9.8652516167463487E-4</v>
      </c>
      <c r="AJ204" s="32">
        <f t="shared" si="13"/>
        <v>3.8121137480086145E-3</v>
      </c>
      <c r="AK204" s="33">
        <f t="shared" si="16"/>
        <v>1.9247713055666493E-4</v>
      </c>
    </row>
    <row r="205" spans="1:37" x14ac:dyDescent="0.3">
      <c r="A205" t="s">
        <v>61</v>
      </c>
      <c r="B205" s="1">
        <v>2013</v>
      </c>
      <c r="C205" s="1" t="str">
        <f t="shared" si="15"/>
        <v>Michigan, 2013</v>
      </c>
      <c r="D205" s="27">
        <v>90</v>
      </c>
      <c r="E205" s="27">
        <v>60</v>
      </c>
      <c r="F205" s="27">
        <v>44</v>
      </c>
      <c r="G205" s="27">
        <v>58</v>
      </c>
      <c r="H205" s="27">
        <v>47</v>
      </c>
      <c r="I205" s="27">
        <v>69</v>
      </c>
      <c r="J205" s="27">
        <v>175</v>
      </c>
      <c r="K205" s="27">
        <v>267</v>
      </c>
      <c r="L205" s="27">
        <v>472</v>
      </c>
      <c r="M205" s="27">
        <v>847</v>
      </c>
      <c r="N205" s="27">
        <v>56</v>
      </c>
      <c r="O205" s="28">
        <v>2185</v>
      </c>
      <c r="P205" s="29">
        <v>576035.79799999995</v>
      </c>
      <c r="Q205" s="30">
        <v>1276312.5319999999</v>
      </c>
      <c r="R205" s="30">
        <v>1394664.9350000001</v>
      </c>
      <c r="S205" s="30">
        <v>1154640.2420000001</v>
      </c>
      <c r="T205" s="30">
        <v>1230631.9360000005</v>
      </c>
      <c r="U205" s="30">
        <v>1449621.4819999998</v>
      </c>
      <c r="V205" s="30">
        <v>1263413.186</v>
      </c>
      <c r="W205" s="30">
        <v>741645.68999999983</v>
      </c>
      <c r="X205" s="30">
        <v>432719.61099999992</v>
      </c>
      <c r="Y205" s="30">
        <v>190807.29799999998</v>
      </c>
      <c r="Z205" s="31">
        <v>9711424</v>
      </c>
      <c r="AA205" s="32">
        <f t="shared" si="14"/>
        <v>1.5624028977449073E-4</v>
      </c>
      <c r="AB205" s="32">
        <f t="shared" si="14"/>
        <v>4.7010429260597437E-5</v>
      </c>
      <c r="AC205" s="32">
        <f t="shared" si="14"/>
        <v>3.1548796342255495E-5</v>
      </c>
      <c r="AD205" s="32">
        <f t="shared" si="14"/>
        <v>5.0232096448964744E-5</v>
      </c>
      <c r="AE205" s="32">
        <f t="shared" si="14"/>
        <v>3.8191760367252472E-5</v>
      </c>
      <c r="AF205" s="32">
        <f t="shared" si="13"/>
        <v>4.7598632371812494E-5</v>
      </c>
      <c r="AG205" s="32">
        <f t="shared" si="13"/>
        <v>1.3851367228013086E-4</v>
      </c>
      <c r="AH205" s="32">
        <f t="shared" si="13"/>
        <v>3.600101822205696E-4</v>
      </c>
      <c r="AI205" s="32">
        <f t="shared" si="13"/>
        <v>1.0907756154365745E-3</v>
      </c>
      <c r="AJ205" s="32">
        <f t="shared" si="13"/>
        <v>4.4390335635904245E-3</v>
      </c>
      <c r="AK205" s="33">
        <f t="shared" si="16"/>
        <v>2.249927508056491E-4</v>
      </c>
    </row>
    <row r="206" spans="1:37" x14ac:dyDescent="0.3">
      <c r="A206" t="s">
        <v>61</v>
      </c>
      <c r="B206" s="1">
        <v>2014</v>
      </c>
      <c r="C206" s="1" t="str">
        <f t="shared" si="15"/>
        <v>Michigan, 2014</v>
      </c>
      <c r="D206" s="27">
        <v>113</v>
      </c>
      <c r="E206" s="27">
        <v>60</v>
      </c>
      <c r="F206" s="27">
        <v>53</v>
      </c>
      <c r="G206" s="27">
        <v>39</v>
      </c>
      <c r="H206" s="27">
        <v>48</v>
      </c>
      <c r="I206" s="27">
        <v>85</v>
      </c>
      <c r="J206" s="27">
        <v>145</v>
      </c>
      <c r="K206" s="27">
        <v>267</v>
      </c>
      <c r="L206" s="27">
        <v>457</v>
      </c>
      <c r="M206" s="27">
        <v>829</v>
      </c>
      <c r="N206" s="27">
        <v>49</v>
      </c>
      <c r="O206" s="28">
        <v>2145</v>
      </c>
      <c r="P206" s="29">
        <v>578209.91999999981</v>
      </c>
      <c r="Q206" s="30">
        <v>1262509.0649999999</v>
      </c>
      <c r="R206" s="30">
        <v>1400888.0119999999</v>
      </c>
      <c r="S206" s="30">
        <v>1178216.199</v>
      </c>
      <c r="T206" s="30">
        <v>1209590.8380000002</v>
      </c>
      <c r="U206" s="30">
        <v>1424034.1940000001</v>
      </c>
      <c r="V206" s="30">
        <v>1290704.4129999995</v>
      </c>
      <c r="W206" s="30">
        <v>773711.66400000011</v>
      </c>
      <c r="X206" s="30">
        <v>436490.48600000009</v>
      </c>
      <c r="Y206" s="30">
        <v>197067.723</v>
      </c>
      <c r="Z206" s="31">
        <v>9747730</v>
      </c>
      <c r="AA206" s="32">
        <f t="shared" si="14"/>
        <v>1.954307529002616E-4</v>
      </c>
      <c r="AB206" s="32">
        <f t="shared" si="14"/>
        <v>4.7524411240564044E-5</v>
      </c>
      <c r="AC206" s="32">
        <f t="shared" si="14"/>
        <v>3.7833145509135816E-5</v>
      </c>
      <c r="AD206" s="32">
        <f t="shared" si="14"/>
        <v>3.3100885926624404E-5</v>
      </c>
      <c r="AE206" s="32">
        <f t="shared" si="14"/>
        <v>3.968284025643388E-5</v>
      </c>
      <c r="AF206" s="32">
        <f t="shared" si="13"/>
        <v>5.9689577931581603E-5</v>
      </c>
      <c r="AG206" s="32">
        <f t="shared" si="13"/>
        <v>1.123417558191924E-4</v>
      </c>
      <c r="AH206" s="32">
        <f t="shared" si="13"/>
        <v>3.4508979562184806E-4</v>
      </c>
      <c r="AI206" s="32">
        <f t="shared" si="13"/>
        <v>1.0469873105092144E-3</v>
      </c>
      <c r="AJ206" s="32">
        <f t="shared" si="13"/>
        <v>4.2066756918889246E-3</v>
      </c>
      <c r="AK206" s="33">
        <f t="shared" si="16"/>
        <v>2.2005123244078366E-4</v>
      </c>
    </row>
    <row r="207" spans="1:37" x14ac:dyDescent="0.3">
      <c r="A207" t="s">
        <v>61</v>
      </c>
      <c r="B207" s="1">
        <v>2015</v>
      </c>
      <c r="C207" s="1" t="str">
        <f t="shared" si="15"/>
        <v>Michigan, 2015</v>
      </c>
      <c r="D207" s="27">
        <v>129</v>
      </c>
      <c r="E207" s="27">
        <v>38</v>
      </c>
      <c r="F207" s="27">
        <v>51</v>
      </c>
      <c r="G207" s="27">
        <v>50</v>
      </c>
      <c r="H207" s="27">
        <v>59</v>
      </c>
      <c r="I207" s="27">
        <v>62</v>
      </c>
      <c r="J207" s="27">
        <v>149</v>
      </c>
      <c r="K207" s="27">
        <v>269</v>
      </c>
      <c r="L207" s="27">
        <v>438</v>
      </c>
      <c r="M207" s="27">
        <v>900</v>
      </c>
      <c r="N207" s="27">
        <v>33</v>
      </c>
      <c r="O207" s="28">
        <v>2178</v>
      </c>
      <c r="P207" s="29">
        <v>560739.90599999984</v>
      </c>
      <c r="Q207" s="30">
        <v>1233125.9659999998</v>
      </c>
      <c r="R207" s="30">
        <v>1377865.3080000002</v>
      </c>
      <c r="S207" s="30">
        <v>1161454.3639999998</v>
      </c>
      <c r="T207" s="30">
        <v>1177694.9850000001</v>
      </c>
      <c r="U207" s="30">
        <v>1387389.3139999998</v>
      </c>
      <c r="V207" s="30">
        <v>1305840.1610000001</v>
      </c>
      <c r="W207" s="30">
        <v>802513.29700000002</v>
      </c>
      <c r="X207" s="30">
        <v>435547.84800000006</v>
      </c>
      <c r="Y207" s="30">
        <v>196767.50200000001</v>
      </c>
      <c r="Z207" s="31">
        <v>9635818</v>
      </c>
      <c r="AA207" s="32">
        <f t="shared" si="14"/>
        <v>2.3005318262474446E-4</v>
      </c>
      <c r="AB207" s="32">
        <f t="shared" si="14"/>
        <v>3.0815992078460542E-5</v>
      </c>
      <c r="AC207" s="32">
        <f t="shared" si="14"/>
        <v>3.7013777546970501E-5</v>
      </c>
      <c r="AD207" s="32">
        <f t="shared" si="14"/>
        <v>4.3049474477673067E-5</v>
      </c>
      <c r="AE207" s="32">
        <f t="shared" si="14"/>
        <v>5.0097861289610567E-5</v>
      </c>
      <c r="AF207" s="32">
        <f t="shared" si="13"/>
        <v>4.4688249631422497E-5</v>
      </c>
      <c r="AG207" s="32">
        <f t="shared" si="13"/>
        <v>1.1410278566244831E-4</v>
      </c>
      <c r="AH207" s="32">
        <f t="shared" si="13"/>
        <v>3.3519693817609102E-4</v>
      </c>
      <c r="AI207" s="32">
        <f t="shared" si="13"/>
        <v>1.0056300404450624E-3</v>
      </c>
      <c r="AJ207" s="32">
        <f t="shared" si="13"/>
        <v>4.5739260337817368E-3</v>
      </c>
      <c r="AK207" s="33">
        <f t="shared" si="16"/>
        <v>2.2603166643454662E-4</v>
      </c>
    </row>
    <row r="208" spans="1:37" x14ac:dyDescent="0.3">
      <c r="A208" t="s">
        <v>61</v>
      </c>
      <c r="B208" s="1">
        <v>2016</v>
      </c>
      <c r="C208" s="1" t="str">
        <f t="shared" si="15"/>
        <v>Michigan, 2016</v>
      </c>
      <c r="D208" s="27">
        <v>128</v>
      </c>
      <c r="E208" s="27">
        <v>57</v>
      </c>
      <c r="F208" s="27">
        <v>48</v>
      </c>
      <c r="G208" s="27">
        <v>60</v>
      </c>
      <c r="H208" s="27">
        <v>53</v>
      </c>
      <c r="I208" s="27">
        <v>86</v>
      </c>
      <c r="J208" s="27">
        <v>146</v>
      </c>
      <c r="K208" s="27">
        <v>272</v>
      </c>
      <c r="L208" s="27">
        <v>442</v>
      </c>
      <c r="M208" s="27">
        <v>640</v>
      </c>
      <c r="N208" s="27">
        <v>50</v>
      </c>
      <c r="O208" s="28">
        <v>1982</v>
      </c>
      <c r="P208" s="29">
        <v>560754.96500000008</v>
      </c>
      <c r="Q208" s="30">
        <v>1219438.1909999999</v>
      </c>
      <c r="R208" s="30">
        <v>1379598.5589999999</v>
      </c>
      <c r="S208" s="30">
        <v>1181985.1310000001</v>
      </c>
      <c r="T208" s="30">
        <v>1161860.8210000002</v>
      </c>
      <c r="U208" s="30">
        <v>1354074.9009999998</v>
      </c>
      <c r="V208" s="30">
        <v>1309052.8959999999</v>
      </c>
      <c r="W208" s="30">
        <v>828824.46000000008</v>
      </c>
      <c r="X208" s="30">
        <v>430767.174</v>
      </c>
      <c r="Y208" s="30">
        <v>197072.77000000002</v>
      </c>
      <c r="Z208" s="31">
        <v>9623093</v>
      </c>
      <c r="AA208" s="32">
        <f t="shared" si="14"/>
        <v>2.2826369446412299E-4</v>
      </c>
      <c r="AB208" s="32">
        <f t="shared" si="14"/>
        <v>4.6742836513310417E-5</v>
      </c>
      <c r="AC208" s="32">
        <f t="shared" si="14"/>
        <v>3.4792729875560857E-5</v>
      </c>
      <c r="AD208" s="32">
        <f t="shared" si="14"/>
        <v>5.0762059882460569E-5</v>
      </c>
      <c r="AE208" s="32">
        <f t="shared" si="14"/>
        <v>4.5616479221997959E-5</v>
      </c>
      <c r="AF208" s="32">
        <f t="shared" si="13"/>
        <v>6.3511996224498371E-5</v>
      </c>
      <c r="AG208" s="32">
        <f t="shared" si="13"/>
        <v>1.1153101639064706E-4</v>
      </c>
      <c r="AH208" s="32">
        <f t="shared" si="13"/>
        <v>3.2817564288582888E-4</v>
      </c>
      <c r="AI208" s="32">
        <f t="shared" si="13"/>
        <v>1.0260763277194376E-3</v>
      </c>
      <c r="AJ208" s="32">
        <f t="shared" si="13"/>
        <v>3.2475313560569527E-3</v>
      </c>
      <c r="AK208" s="33">
        <f t="shared" si="16"/>
        <v>2.0596288532179831E-4</v>
      </c>
    </row>
    <row r="209" spans="1:37" x14ac:dyDescent="0.3">
      <c r="A209" t="s">
        <v>61</v>
      </c>
      <c r="B209" s="1">
        <v>2017</v>
      </c>
      <c r="C209" s="1" t="str">
        <f t="shared" si="15"/>
        <v>Michigan, 2017</v>
      </c>
      <c r="D209" s="27">
        <v>125</v>
      </c>
      <c r="E209" s="27">
        <v>62</v>
      </c>
      <c r="F209" s="27">
        <v>71</v>
      </c>
      <c r="G209" s="27">
        <v>58</v>
      </c>
      <c r="H209" s="27">
        <v>57</v>
      </c>
      <c r="I209" s="27">
        <v>65</v>
      </c>
      <c r="J209" s="27">
        <v>165</v>
      </c>
      <c r="K209" s="27">
        <v>270</v>
      </c>
      <c r="L209" s="27">
        <v>441</v>
      </c>
      <c r="M209" s="27">
        <v>784</v>
      </c>
      <c r="N209" s="27">
        <v>55</v>
      </c>
      <c r="O209" s="28">
        <v>2153</v>
      </c>
      <c r="P209" s="29">
        <v>553265</v>
      </c>
      <c r="Q209" s="30">
        <v>1192662</v>
      </c>
      <c r="R209" s="30">
        <v>1348362</v>
      </c>
      <c r="S209" s="30">
        <v>1180077</v>
      </c>
      <c r="T209" s="30">
        <v>1137025</v>
      </c>
      <c r="U209" s="30">
        <v>1318387</v>
      </c>
      <c r="V209" s="30">
        <v>1318855</v>
      </c>
      <c r="W209" s="30">
        <v>864822</v>
      </c>
      <c r="X209" s="30">
        <v>436607</v>
      </c>
      <c r="Y209" s="30">
        <v>197678</v>
      </c>
      <c r="Z209" s="31">
        <v>9547740</v>
      </c>
      <c r="AA209" s="32">
        <f t="shared" si="14"/>
        <v>2.259315156389795E-4</v>
      </c>
      <c r="AB209" s="32">
        <f t="shared" si="14"/>
        <v>5.1984552203390397E-5</v>
      </c>
      <c r="AC209" s="32">
        <f t="shared" si="14"/>
        <v>5.2656482457974937E-5</v>
      </c>
      <c r="AD209" s="32">
        <f t="shared" si="14"/>
        <v>4.9149335170501589E-5</v>
      </c>
      <c r="AE209" s="32">
        <f t="shared" si="14"/>
        <v>5.0130823860513179E-5</v>
      </c>
      <c r="AF209" s="32">
        <f t="shared" si="13"/>
        <v>4.930267061189165E-5</v>
      </c>
      <c r="AG209" s="32">
        <f t="shared" si="13"/>
        <v>1.2510852216505986E-4</v>
      </c>
      <c r="AH209" s="32">
        <f t="shared" si="13"/>
        <v>3.1220297355987706E-4</v>
      </c>
      <c r="AI209" s="32">
        <f t="shared" si="13"/>
        <v>1.0100616801837809E-3</v>
      </c>
      <c r="AJ209" s="32">
        <f t="shared" si="13"/>
        <v>3.9660457916409512E-3</v>
      </c>
      <c r="AK209" s="33">
        <f t="shared" si="16"/>
        <v>2.2549839019495713E-4</v>
      </c>
    </row>
    <row r="210" spans="1:37" x14ac:dyDescent="0.3">
      <c r="A210" t="s">
        <v>62</v>
      </c>
      <c r="B210" s="1">
        <v>2009</v>
      </c>
      <c r="C210" s="1" t="str">
        <f t="shared" si="15"/>
        <v>Minnesota, 2009</v>
      </c>
      <c r="D210" s="27">
        <v>107</v>
      </c>
      <c r="E210" s="27">
        <v>68</v>
      </c>
      <c r="F210" s="27">
        <v>55</v>
      </c>
      <c r="G210" s="27">
        <v>51</v>
      </c>
      <c r="H210" s="27">
        <v>55</v>
      </c>
      <c r="I210" s="27">
        <v>50</v>
      </c>
      <c r="J210" s="27">
        <v>55</v>
      </c>
      <c r="K210" s="27">
        <v>38</v>
      </c>
      <c r="L210" s="27">
        <v>111</v>
      </c>
      <c r="M210" s="27">
        <v>348</v>
      </c>
      <c r="N210" s="27">
        <v>63</v>
      </c>
      <c r="O210" s="28">
        <v>1001</v>
      </c>
      <c r="P210" s="29">
        <v>354883.35799999977</v>
      </c>
      <c r="Q210" s="30">
        <v>681410.272</v>
      </c>
      <c r="R210" s="30">
        <v>743301.06299999997</v>
      </c>
      <c r="S210" s="30">
        <v>673770.11600000015</v>
      </c>
      <c r="T210" s="30">
        <v>731353.71600000001</v>
      </c>
      <c r="U210" s="30">
        <v>791899.47100000002</v>
      </c>
      <c r="V210" s="30">
        <v>554679.53899999999</v>
      </c>
      <c r="W210" s="30">
        <v>321393.0470000002</v>
      </c>
      <c r="X210" s="30">
        <v>219702.27699999997</v>
      </c>
      <c r="Y210" s="30">
        <v>98819.255999999965</v>
      </c>
      <c r="Z210" s="31">
        <v>5168946</v>
      </c>
      <c r="AA210" s="32">
        <f t="shared" si="14"/>
        <v>3.0150751673173716E-4</v>
      </c>
      <c r="AB210" s="32">
        <f t="shared" si="14"/>
        <v>9.9793036286955182E-5</v>
      </c>
      <c r="AC210" s="32">
        <f t="shared" si="14"/>
        <v>7.39942437025682E-5</v>
      </c>
      <c r="AD210" s="32">
        <f t="shared" si="14"/>
        <v>7.5693472875843594E-5</v>
      </c>
      <c r="AE210" s="32">
        <f t="shared" si="14"/>
        <v>7.5203008881683181E-5</v>
      </c>
      <c r="AF210" s="32">
        <f t="shared" si="13"/>
        <v>6.3139327441222648E-5</v>
      </c>
      <c r="AG210" s="32">
        <f t="shared" si="13"/>
        <v>9.9156352691783721E-5</v>
      </c>
      <c r="AH210" s="32">
        <f t="shared" si="13"/>
        <v>1.1823528963898206E-4</v>
      </c>
      <c r="AI210" s="32">
        <f t="shared" si="13"/>
        <v>5.052291742975427E-4</v>
      </c>
      <c r="AJ210" s="32">
        <f t="shared" si="13"/>
        <v>3.5215808546463874E-3</v>
      </c>
      <c r="AK210" s="33">
        <f t="shared" si="16"/>
        <v>1.9365650173168767E-4</v>
      </c>
    </row>
    <row r="211" spans="1:37" x14ac:dyDescent="0.3">
      <c r="A211" t="s">
        <v>62</v>
      </c>
      <c r="B211" s="1">
        <v>2010</v>
      </c>
      <c r="C211" s="1" t="str">
        <f t="shared" si="15"/>
        <v>Minnesota, 2010</v>
      </c>
      <c r="D211" s="27">
        <v>128</v>
      </c>
      <c r="E211" s="27">
        <v>45</v>
      </c>
      <c r="F211" s="27">
        <v>43</v>
      </c>
      <c r="G211" s="27">
        <v>49</v>
      </c>
      <c r="H211" s="27">
        <v>52</v>
      </c>
      <c r="I211" s="27">
        <v>47</v>
      </c>
      <c r="J211" s="27">
        <v>44</v>
      </c>
      <c r="K211" s="27">
        <v>57</v>
      </c>
      <c r="L211" s="27">
        <v>110</v>
      </c>
      <c r="M211" s="27">
        <v>355</v>
      </c>
      <c r="N211" s="27">
        <v>71</v>
      </c>
      <c r="O211" s="28">
        <v>1001</v>
      </c>
      <c r="P211" s="29">
        <v>352390.09799999994</v>
      </c>
      <c r="Q211" s="30">
        <v>701457.01900000009</v>
      </c>
      <c r="R211" s="30">
        <v>733067.39799999993</v>
      </c>
      <c r="S211" s="30">
        <v>692633.28899999987</v>
      </c>
      <c r="T211" s="30">
        <v>713829.92499999993</v>
      </c>
      <c r="U211" s="30">
        <v>798558.91199999989</v>
      </c>
      <c r="V211" s="30">
        <v>583532.71299999987</v>
      </c>
      <c r="W211" s="30">
        <v>331419.34799999977</v>
      </c>
      <c r="X211" s="30">
        <v>223261.59699999998</v>
      </c>
      <c r="Y211" s="30">
        <v>98524.02899999998</v>
      </c>
      <c r="Z211" s="31">
        <v>5228413</v>
      </c>
      <c r="AA211" s="32">
        <f t="shared" si="14"/>
        <v>3.6323381595132113E-4</v>
      </c>
      <c r="AB211" s="32">
        <f t="shared" si="14"/>
        <v>6.4152184355004642E-5</v>
      </c>
      <c r="AC211" s="32">
        <f t="shared" si="14"/>
        <v>5.8657635187863046E-5</v>
      </c>
      <c r="AD211" s="32">
        <f t="shared" si="14"/>
        <v>7.0744506188468812E-5</v>
      </c>
      <c r="AE211" s="32">
        <f t="shared" si="14"/>
        <v>7.28464837054849E-5</v>
      </c>
      <c r="AF211" s="32">
        <f t="shared" si="13"/>
        <v>5.8856020881775604E-5</v>
      </c>
      <c r="AG211" s="32">
        <f t="shared" si="13"/>
        <v>7.5402799225756533E-5</v>
      </c>
      <c r="AH211" s="32">
        <f t="shared" si="13"/>
        <v>1.7198754491545268E-4</v>
      </c>
      <c r="AI211" s="32">
        <f t="shared" si="13"/>
        <v>4.9269557092705024E-4</v>
      </c>
      <c r="AJ211" s="32">
        <f t="shared" si="13"/>
        <v>3.6031819202196865E-3</v>
      </c>
      <c r="AK211" s="33">
        <f t="shared" si="16"/>
        <v>1.9145388858913786E-4</v>
      </c>
    </row>
    <row r="212" spans="1:37" x14ac:dyDescent="0.3">
      <c r="A212" t="s">
        <v>62</v>
      </c>
      <c r="B212" s="1">
        <v>2011</v>
      </c>
      <c r="C212" s="1" t="str">
        <f t="shared" si="15"/>
        <v>Minnesota, 2011</v>
      </c>
      <c r="D212" s="27">
        <v>108</v>
      </c>
      <c r="E212" s="27">
        <v>70</v>
      </c>
      <c r="F212" s="27">
        <v>70</v>
      </c>
      <c r="G212" s="27">
        <v>56</v>
      </c>
      <c r="H212" s="27">
        <v>74</v>
      </c>
      <c r="I212" s="27">
        <v>59</v>
      </c>
      <c r="J212" s="27">
        <v>61</v>
      </c>
      <c r="K212" s="27">
        <v>56</v>
      </c>
      <c r="L212" s="27">
        <v>122</v>
      </c>
      <c r="M212" s="27">
        <v>394</v>
      </c>
      <c r="N212" s="27">
        <v>49</v>
      </c>
      <c r="O212" s="28">
        <v>1119</v>
      </c>
      <c r="P212" s="29">
        <v>339167.22799999989</v>
      </c>
      <c r="Q212" s="30">
        <v>676693.42699999968</v>
      </c>
      <c r="R212" s="30">
        <v>700763.30900000001</v>
      </c>
      <c r="S212" s="30">
        <v>679120.93499999994</v>
      </c>
      <c r="T212" s="30">
        <v>673363.92600000021</v>
      </c>
      <c r="U212" s="30">
        <v>769766.67000000016</v>
      </c>
      <c r="V212" s="30">
        <v>581034.75499999989</v>
      </c>
      <c r="W212" s="30">
        <v>324547.44200000004</v>
      </c>
      <c r="X212" s="30">
        <v>210681.11599999995</v>
      </c>
      <c r="Y212" s="30">
        <v>95385.200999999986</v>
      </c>
      <c r="Z212" s="31">
        <v>5049092</v>
      </c>
      <c r="AA212" s="32">
        <f t="shared" si="14"/>
        <v>3.1842699141911208E-4</v>
      </c>
      <c r="AB212" s="32">
        <f t="shared" si="14"/>
        <v>1.0344418492482274E-4</v>
      </c>
      <c r="AC212" s="32">
        <f t="shared" si="14"/>
        <v>9.9891074633874706E-5</v>
      </c>
      <c r="AD212" s="32">
        <f t="shared" si="14"/>
        <v>8.2459540140667292E-5</v>
      </c>
      <c r="AE212" s="32">
        <f t="shared" si="14"/>
        <v>1.0989599701246837E-4</v>
      </c>
      <c r="AF212" s="32">
        <f t="shared" si="13"/>
        <v>7.6646602534765487E-5</v>
      </c>
      <c r="AG212" s="32">
        <f t="shared" si="13"/>
        <v>1.0498511401439318E-4</v>
      </c>
      <c r="AH212" s="32">
        <f t="shared" si="13"/>
        <v>1.7254796295698425E-4</v>
      </c>
      <c r="AI212" s="32">
        <f t="shared" si="13"/>
        <v>5.7907420615713862E-4</v>
      </c>
      <c r="AJ212" s="32">
        <f t="shared" si="13"/>
        <v>4.1306198012834305E-3</v>
      </c>
      <c r="AK212" s="33">
        <f t="shared" si="16"/>
        <v>2.2162400685113282E-4</v>
      </c>
    </row>
    <row r="213" spans="1:37" x14ac:dyDescent="0.3">
      <c r="A213" t="s">
        <v>62</v>
      </c>
      <c r="B213" s="1">
        <v>2012</v>
      </c>
      <c r="C213" s="1" t="str">
        <f t="shared" si="15"/>
        <v>Minnesota, 2012</v>
      </c>
      <c r="D213" s="27">
        <v>136</v>
      </c>
      <c r="E213" s="27">
        <v>65</v>
      </c>
      <c r="F213" s="27">
        <v>44</v>
      </c>
      <c r="G213" s="27">
        <v>68</v>
      </c>
      <c r="H213" s="27">
        <v>62</v>
      </c>
      <c r="I213" s="27">
        <v>50</v>
      </c>
      <c r="J213" s="27">
        <v>56</v>
      </c>
      <c r="K213" s="27">
        <v>64</v>
      </c>
      <c r="L213" s="27">
        <v>138</v>
      </c>
      <c r="M213" s="27">
        <v>366</v>
      </c>
      <c r="N213" s="27">
        <v>60</v>
      </c>
      <c r="O213" s="28">
        <v>1109</v>
      </c>
      <c r="P213" s="29">
        <v>335286.60100000008</v>
      </c>
      <c r="Q213" s="30">
        <v>672783.8689999996</v>
      </c>
      <c r="R213" s="30">
        <v>691334.59199999995</v>
      </c>
      <c r="S213" s="30">
        <v>686259.74599999993</v>
      </c>
      <c r="T213" s="30">
        <v>655486.26400000032</v>
      </c>
      <c r="U213" s="30">
        <v>758685.9850000001</v>
      </c>
      <c r="V213" s="30">
        <v>594423.54499999981</v>
      </c>
      <c r="W213" s="30">
        <v>333983.15099999995</v>
      </c>
      <c r="X213" s="30">
        <v>206764.383</v>
      </c>
      <c r="Y213" s="30">
        <v>94916.96799999995</v>
      </c>
      <c r="Z213" s="31">
        <v>5031344</v>
      </c>
      <c r="AA213" s="32">
        <f t="shared" si="14"/>
        <v>4.0562312837547592E-4</v>
      </c>
      <c r="AB213" s="32">
        <f t="shared" si="14"/>
        <v>9.6613493567575473E-5</v>
      </c>
      <c r="AC213" s="32">
        <f t="shared" si="14"/>
        <v>6.3645014308787843E-5</v>
      </c>
      <c r="AD213" s="32">
        <f t="shared" si="14"/>
        <v>9.908784595971334E-5</v>
      </c>
      <c r="AE213" s="32">
        <f t="shared" si="14"/>
        <v>9.4586268858869594E-5</v>
      </c>
      <c r="AF213" s="32">
        <f t="shared" si="13"/>
        <v>6.5903418526968042E-5</v>
      </c>
      <c r="AG213" s="32">
        <f t="shared" si="13"/>
        <v>9.4208919668550505E-5</v>
      </c>
      <c r="AH213" s="32">
        <f t="shared" si="13"/>
        <v>1.9162643327477321E-4</v>
      </c>
      <c r="AI213" s="32">
        <f t="shared" si="13"/>
        <v>6.6742636230534929E-4</v>
      </c>
      <c r="AJ213" s="32">
        <f t="shared" si="13"/>
        <v>3.8560018057045417E-3</v>
      </c>
      <c r="AK213" s="33">
        <f t="shared" si="16"/>
        <v>2.2041824212377448E-4</v>
      </c>
    </row>
    <row r="214" spans="1:37" x14ac:dyDescent="0.3">
      <c r="A214" t="s">
        <v>62</v>
      </c>
      <c r="B214" s="1">
        <v>2013</v>
      </c>
      <c r="C214" s="1" t="str">
        <f t="shared" si="15"/>
        <v>Minnesota, 2013</v>
      </c>
      <c r="D214" s="27">
        <v>121</v>
      </c>
      <c r="E214" s="27">
        <v>41</v>
      </c>
      <c r="F214" s="27">
        <v>53</v>
      </c>
      <c r="G214" s="27">
        <v>42</v>
      </c>
      <c r="H214" s="27">
        <v>42</v>
      </c>
      <c r="I214" s="27">
        <v>43</v>
      </c>
      <c r="J214" s="27">
        <v>47</v>
      </c>
      <c r="K214" s="27">
        <v>73</v>
      </c>
      <c r="L214" s="27">
        <v>146</v>
      </c>
      <c r="M214" s="27">
        <v>420</v>
      </c>
      <c r="N214" s="27">
        <v>48</v>
      </c>
      <c r="O214" s="28">
        <v>1076</v>
      </c>
      <c r="P214" s="29">
        <v>336713.30200000003</v>
      </c>
      <c r="Q214" s="30">
        <v>679603.98400000017</v>
      </c>
      <c r="R214" s="30">
        <v>698524.29100000008</v>
      </c>
      <c r="S214" s="30">
        <v>698697.32599999988</v>
      </c>
      <c r="T214" s="30">
        <v>649098.46299999976</v>
      </c>
      <c r="U214" s="30">
        <v>761623.57200000016</v>
      </c>
      <c r="V214" s="30">
        <v>641330.37299999979</v>
      </c>
      <c r="W214" s="30">
        <v>383279.06099999993</v>
      </c>
      <c r="X214" s="30">
        <v>234900.31099999996</v>
      </c>
      <c r="Y214" s="30">
        <v>107233.11400000002</v>
      </c>
      <c r="Z214" s="31">
        <v>5189198</v>
      </c>
      <c r="AA214" s="32">
        <f t="shared" si="14"/>
        <v>3.593561622938199E-4</v>
      </c>
      <c r="AB214" s="32">
        <f t="shared" si="14"/>
        <v>6.0329251983902424E-5</v>
      </c>
      <c r="AC214" s="32">
        <f t="shared" si="14"/>
        <v>7.5874240427810689E-5</v>
      </c>
      <c r="AD214" s="32">
        <f t="shared" si="14"/>
        <v>6.0111865949806152E-5</v>
      </c>
      <c r="AE214" s="32">
        <f t="shared" si="14"/>
        <v>6.470512933567063E-5</v>
      </c>
      <c r="AF214" s="32">
        <f t="shared" si="13"/>
        <v>5.6458336612512292E-5</v>
      </c>
      <c r="AG214" s="32">
        <f t="shared" si="13"/>
        <v>7.3285161562120521E-5</v>
      </c>
      <c r="AH214" s="32">
        <f t="shared" si="13"/>
        <v>1.9046174818300343E-4</v>
      </c>
      <c r="AI214" s="32">
        <f t="shared" si="13"/>
        <v>6.2154025841200367E-4</v>
      </c>
      <c r="AJ214" s="32">
        <f t="shared" si="13"/>
        <v>3.9167005818743633E-3</v>
      </c>
      <c r="AK214" s="33">
        <f t="shared" si="16"/>
        <v>2.0735381459716895E-4</v>
      </c>
    </row>
    <row r="215" spans="1:37" x14ac:dyDescent="0.3">
      <c r="A215" t="s">
        <v>62</v>
      </c>
      <c r="B215" s="1">
        <v>2014</v>
      </c>
      <c r="C215" s="1" t="str">
        <f t="shared" si="15"/>
        <v>Minnesota, 2014</v>
      </c>
      <c r="D215" s="27">
        <v>103</v>
      </c>
      <c r="E215" s="27">
        <v>52</v>
      </c>
      <c r="F215" s="27">
        <v>49</v>
      </c>
      <c r="G215" s="27">
        <v>56</v>
      </c>
      <c r="H215" s="27">
        <v>56</v>
      </c>
      <c r="I215" s="27">
        <v>35</v>
      </c>
      <c r="J215" s="27">
        <v>55</v>
      </c>
      <c r="K215" s="27">
        <v>45</v>
      </c>
      <c r="L215" s="27">
        <v>104</v>
      </c>
      <c r="M215" s="27">
        <v>337</v>
      </c>
      <c r="N215" s="27">
        <v>45</v>
      </c>
      <c r="O215" s="28">
        <v>937</v>
      </c>
      <c r="P215" s="29">
        <v>338471.02699999994</v>
      </c>
      <c r="Q215" s="30">
        <v>686997.44900000002</v>
      </c>
      <c r="R215" s="30">
        <v>696311.27600000019</v>
      </c>
      <c r="S215" s="30">
        <v>717458.0540000007</v>
      </c>
      <c r="T215" s="30">
        <v>651443.10300000012</v>
      </c>
      <c r="U215" s="30">
        <v>751386.076</v>
      </c>
      <c r="V215" s="30">
        <v>640530.80999999982</v>
      </c>
      <c r="W215" s="30">
        <v>370426.69800000015</v>
      </c>
      <c r="X215" s="30">
        <v>213078.60899999994</v>
      </c>
      <c r="Y215" s="30">
        <v>100155.92</v>
      </c>
      <c r="Z215" s="31">
        <v>5165548</v>
      </c>
      <c r="AA215" s="32">
        <f t="shared" si="14"/>
        <v>3.043096507046082E-4</v>
      </c>
      <c r="AB215" s="32">
        <f t="shared" si="14"/>
        <v>7.5691692997829454E-5</v>
      </c>
      <c r="AC215" s="32">
        <f t="shared" si="14"/>
        <v>7.037082650949342E-5</v>
      </c>
      <c r="AD215" s="32">
        <f t="shared" si="14"/>
        <v>7.8053343589616942E-5</v>
      </c>
      <c r="AE215" s="32">
        <f t="shared" si="14"/>
        <v>8.5962994683819673E-5</v>
      </c>
      <c r="AF215" s="32">
        <f t="shared" si="13"/>
        <v>4.6580581032752596E-5</v>
      </c>
      <c r="AG215" s="32">
        <f t="shared" si="13"/>
        <v>8.5866283309619438E-5</v>
      </c>
      <c r="AH215" s="32">
        <f t="shared" si="13"/>
        <v>1.2148152453093427E-4</v>
      </c>
      <c r="AI215" s="32">
        <f t="shared" si="13"/>
        <v>4.8808278075440241E-4</v>
      </c>
      <c r="AJ215" s="32">
        <f t="shared" si="13"/>
        <v>3.3647536760682746E-3</v>
      </c>
      <c r="AK215" s="33">
        <f t="shared" si="16"/>
        <v>1.8139411346095323E-4</v>
      </c>
    </row>
    <row r="216" spans="1:37" x14ac:dyDescent="0.3">
      <c r="A216" t="s">
        <v>62</v>
      </c>
      <c r="B216" s="1">
        <v>2015</v>
      </c>
      <c r="C216" s="1" t="str">
        <f t="shared" si="15"/>
        <v>Minnesota, 2015</v>
      </c>
      <c r="D216" s="27">
        <v>116</v>
      </c>
      <c r="E216" s="27">
        <v>60</v>
      </c>
      <c r="F216" s="27">
        <v>53</v>
      </c>
      <c r="G216" s="27">
        <v>73</v>
      </c>
      <c r="H216" s="27">
        <v>45</v>
      </c>
      <c r="I216" s="27">
        <v>51</v>
      </c>
      <c r="J216" s="27">
        <v>61</v>
      </c>
      <c r="K216" s="27">
        <v>71</v>
      </c>
      <c r="L216" s="27">
        <v>140</v>
      </c>
      <c r="M216" s="27">
        <v>415</v>
      </c>
      <c r="N216" s="27">
        <v>55</v>
      </c>
      <c r="O216" s="28">
        <v>1140</v>
      </c>
      <c r="P216" s="29">
        <v>332398.321</v>
      </c>
      <c r="Q216" s="30">
        <v>681553.33200000005</v>
      </c>
      <c r="R216" s="30">
        <v>677741.35300000012</v>
      </c>
      <c r="S216" s="30">
        <v>710582.94599999988</v>
      </c>
      <c r="T216" s="30">
        <v>643139.31599999999</v>
      </c>
      <c r="U216" s="30">
        <v>737066.4439999999</v>
      </c>
      <c r="V216" s="30">
        <v>659951.39000000025</v>
      </c>
      <c r="W216" s="30">
        <v>387793.75299999997</v>
      </c>
      <c r="X216" s="30">
        <v>215413.18900000001</v>
      </c>
      <c r="Y216" s="30">
        <v>101846.605</v>
      </c>
      <c r="Z216" s="31">
        <v>5149322</v>
      </c>
      <c r="AA216" s="32">
        <f t="shared" si="14"/>
        <v>3.4897889872313764E-4</v>
      </c>
      <c r="AB216" s="32">
        <f t="shared" si="14"/>
        <v>8.8034196566733232E-5</v>
      </c>
      <c r="AC216" s="32">
        <f t="shared" si="14"/>
        <v>7.8200923944506587E-5</v>
      </c>
      <c r="AD216" s="32">
        <f t="shared" si="14"/>
        <v>1.0273255277364904E-4</v>
      </c>
      <c r="AE216" s="32">
        <f t="shared" si="14"/>
        <v>6.9969287960619712E-5</v>
      </c>
      <c r="AF216" s="32">
        <f t="shared" si="13"/>
        <v>6.9193219166547771E-5</v>
      </c>
      <c r="AG216" s="32">
        <f t="shared" si="13"/>
        <v>9.2431050111130126E-5</v>
      </c>
      <c r="AH216" s="32">
        <f t="shared" si="13"/>
        <v>1.8308701326604404E-4</v>
      </c>
      <c r="AI216" s="32">
        <f t="shared" si="13"/>
        <v>6.4991378034889033E-4</v>
      </c>
      <c r="AJ216" s="32">
        <f t="shared" si="13"/>
        <v>4.0747553637158554E-3</v>
      </c>
      <c r="AK216" s="33">
        <f t="shared" si="16"/>
        <v>2.2138836918724446E-4</v>
      </c>
    </row>
    <row r="217" spans="1:37" x14ac:dyDescent="0.3">
      <c r="A217" t="s">
        <v>62</v>
      </c>
      <c r="B217" s="1">
        <v>2016</v>
      </c>
      <c r="C217" s="1" t="str">
        <f t="shared" si="15"/>
        <v>Minnesota, 2016</v>
      </c>
      <c r="D217" s="27">
        <v>120</v>
      </c>
      <c r="E217" s="27">
        <v>38</v>
      </c>
      <c r="F217" s="27">
        <v>45</v>
      </c>
      <c r="G217" s="27">
        <v>54</v>
      </c>
      <c r="H217" s="27">
        <v>46</v>
      </c>
      <c r="I217" s="27">
        <v>55</v>
      </c>
      <c r="J217" s="27">
        <v>51</v>
      </c>
      <c r="K217" s="27">
        <v>60</v>
      </c>
      <c r="L217" s="27">
        <v>99</v>
      </c>
      <c r="M217" s="27">
        <v>275</v>
      </c>
      <c r="N217" s="27">
        <v>61</v>
      </c>
      <c r="O217" s="28">
        <v>904</v>
      </c>
      <c r="P217" s="29">
        <v>332965.64299999998</v>
      </c>
      <c r="Q217" s="30">
        <v>686118.19100000011</v>
      </c>
      <c r="R217" s="30">
        <v>683367.78399999999</v>
      </c>
      <c r="S217" s="30">
        <v>715534.93999999971</v>
      </c>
      <c r="T217" s="30">
        <v>643783.24999999977</v>
      </c>
      <c r="U217" s="30">
        <v>723891.04999999993</v>
      </c>
      <c r="V217" s="30">
        <v>674417.24700000009</v>
      </c>
      <c r="W217" s="30">
        <v>407196.41999999987</v>
      </c>
      <c r="X217" s="30">
        <v>218227.06099999996</v>
      </c>
      <c r="Y217" s="30">
        <v>107135.96699999998</v>
      </c>
      <c r="Z217" s="31">
        <v>5193351</v>
      </c>
      <c r="AA217" s="32">
        <f t="shared" si="14"/>
        <v>3.6039754407934515E-4</v>
      </c>
      <c r="AB217" s="32">
        <f t="shared" si="14"/>
        <v>5.5384043884066022E-5</v>
      </c>
      <c r="AC217" s="32">
        <f t="shared" si="14"/>
        <v>6.5850338651609605E-5</v>
      </c>
      <c r="AD217" s="32">
        <f t="shared" si="14"/>
        <v>7.5468012784952218E-5</v>
      </c>
      <c r="AE217" s="32">
        <f t="shared" si="14"/>
        <v>7.1452620117096893E-5</v>
      </c>
      <c r="AF217" s="32">
        <f t="shared" si="13"/>
        <v>7.5978284301208047E-5</v>
      </c>
      <c r="AG217" s="32">
        <f t="shared" si="13"/>
        <v>7.5620841885142354E-5</v>
      </c>
      <c r="AH217" s="32">
        <f t="shared" si="13"/>
        <v>1.4734903612364771E-4</v>
      </c>
      <c r="AI217" s="32">
        <f t="shared" si="13"/>
        <v>4.5365592858348589E-4</v>
      </c>
      <c r="AJ217" s="32">
        <f t="shared" si="13"/>
        <v>2.5668317344818485E-3</v>
      </c>
      <c r="AK217" s="33">
        <f t="shared" si="16"/>
        <v>1.7406872749405923E-4</v>
      </c>
    </row>
    <row r="218" spans="1:37" x14ac:dyDescent="0.3">
      <c r="A218" t="s">
        <v>62</v>
      </c>
      <c r="B218" s="1">
        <v>2017</v>
      </c>
      <c r="C218" s="1" t="str">
        <f t="shared" si="15"/>
        <v>Minnesota, 2017</v>
      </c>
      <c r="D218" s="27">
        <v>106</v>
      </c>
      <c r="E218" s="27">
        <v>49</v>
      </c>
      <c r="F218" s="27">
        <v>48</v>
      </c>
      <c r="G218" s="27">
        <v>61</v>
      </c>
      <c r="H218" s="27">
        <v>60</v>
      </c>
      <c r="I218" s="27">
        <v>67</v>
      </c>
      <c r="J218" s="27">
        <v>68</v>
      </c>
      <c r="K218" s="27">
        <v>71</v>
      </c>
      <c r="L218" s="27">
        <v>111</v>
      </c>
      <c r="M218" s="27">
        <v>377</v>
      </c>
      <c r="N218" s="27">
        <v>70</v>
      </c>
      <c r="O218" s="28">
        <v>1088</v>
      </c>
      <c r="P218" s="29">
        <v>315054</v>
      </c>
      <c r="Q218" s="30">
        <v>650776</v>
      </c>
      <c r="R218" s="30">
        <v>637705</v>
      </c>
      <c r="S218" s="30">
        <v>681453</v>
      </c>
      <c r="T218" s="30">
        <v>614870</v>
      </c>
      <c r="U218" s="30">
        <v>672306</v>
      </c>
      <c r="V218" s="30">
        <v>647357</v>
      </c>
      <c r="W218" s="30">
        <v>399646</v>
      </c>
      <c r="X218" s="30">
        <v>206508</v>
      </c>
      <c r="Y218" s="30">
        <v>98945</v>
      </c>
      <c r="Z218" s="31">
        <v>4924620</v>
      </c>
      <c r="AA218" s="32">
        <f t="shared" si="14"/>
        <v>3.364502593206244E-4</v>
      </c>
      <c r="AB218" s="32">
        <f t="shared" si="14"/>
        <v>7.5294725066689619E-5</v>
      </c>
      <c r="AC218" s="32">
        <f t="shared" si="14"/>
        <v>7.5269913204381337E-5</v>
      </c>
      <c r="AD218" s="32">
        <f t="shared" si="14"/>
        <v>8.9514610692153379E-5</v>
      </c>
      <c r="AE218" s="32">
        <f t="shared" si="14"/>
        <v>9.7581602615186944E-5</v>
      </c>
      <c r="AF218" s="32">
        <f t="shared" si="13"/>
        <v>9.9657001424946381E-5</v>
      </c>
      <c r="AG218" s="32">
        <f t="shared" si="13"/>
        <v>1.0504250359538863E-4</v>
      </c>
      <c r="AH218" s="32">
        <f t="shared" si="13"/>
        <v>1.7765722664558133E-4</v>
      </c>
      <c r="AI218" s="32">
        <f t="shared" si="13"/>
        <v>5.3750944273345345E-4</v>
      </c>
      <c r="AJ218" s="32">
        <f t="shared" si="13"/>
        <v>3.8101975845166508E-3</v>
      </c>
      <c r="AK218" s="33">
        <f t="shared" si="16"/>
        <v>2.2093075201741455E-4</v>
      </c>
    </row>
    <row r="219" spans="1:37" x14ac:dyDescent="0.3">
      <c r="A219" t="s">
        <v>63</v>
      </c>
      <c r="B219" s="1">
        <v>2009</v>
      </c>
      <c r="C219" s="1" t="str">
        <f t="shared" si="15"/>
        <v>Mississippi, 2009</v>
      </c>
      <c r="D219" s="27">
        <v>129</v>
      </c>
      <c r="E219" s="27">
        <v>54</v>
      </c>
      <c r="F219" s="27">
        <v>60</v>
      </c>
      <c r="G219" s="27">
        <v>57</v>
      </c>
      <c r="H219" s="27">
        <v>65</v>
      </c>
      <c r="I219" s="27">
        <v>42</v>
      </c>
      <c r="J219" s="27">
        <v>35</v>
      </c>
      <c r="K219" s="27">
        <v>61</v>
      </c>
      <c r="L219" s="27">
        <v>159</v>
      </c>
      <c r="M219" s="27">
        <v>219</v>
      </c>
      <c r="N219" s="27">
        <v>54</v>
      </c>
      <c r="O219" s="28">
        <v>935</v>
      </c>
      <c r="P219" s="29">
        <v>215338.05700000003</v>
      </c>
      <c r="Q219" s="30">
        <v>416772.9219999999</v>
      </c>
      <c r="R219" s="30">
        <v>447296.75400000002</v>
      </c>
      <c r="S219" s="30">
        <v>381306.36799999996</v>
      </c>
      <c r="T219" s="30">
        <v>383759.94999999995</v>
      </c>
      <c r="U219" s="30">
        <v>403646.66700000007</v>
      </c>
      <c r="V219" s="30">
        <v>310222.7759999999</v>
      </c>
      <c r="W219" s="30">
        <v>194329.20300000001</v>
      </c>
      <c r="X219" s="30">
        <v>124229.84300000002</v>
      </c>
      <c r="Y219" s="30">
        <v>46621.498</v>
      </c>
      <c r="Z219" s="31">
        <v>2922240</v>
      </c>
      <c r="AA219" s="32">
        <f t="shared" si="14"/>
        <v>5.9905806617359782E-4</v>
      </c>
      <c r="AB219" s="32">
        <f t="shared" si="14"/>
        <v>1.2956695876705735E-4</v>
      </c>
      <c r="AC219" s="32">
        <f t="shared" si="14"/>
        <v>1.3413913573806082E-4</v>
      </c>
      <c r="AD219" s="32">
        <f t="shared" si="14"/>
        <v>1.4948609512862898E-4</v>
      </c>
      <c r="AE219" s="32">
        <f t="shared" si="14"/>
        <v>1.6937671583499011E-4</v>
      </c>
      <c r="AF219" s="32">
        <f t="shared" si="13"/>
        <v>1.0405139800151006E-4</v>
      </c>
      <c r="AG219" s="32">
        <f t="shared" si="13"/>
        <v>1.1282214817135158E-4</v>
      </c>
      <c r="AH219" s="32">
        <f t="shared" si="13"/>
        <v>3.1390032510965424E-4</v>
      </c>
      <c r="AI219" s="32">
        <f t="shared" si="13"/>
        <v>1.2798857034698175E-3</v>
      </c>
      <c r="AJ219" s="32">
        <f t="shared" si="13"/>
        <v>4.6974037599564044E-3</v>
      </c>
      <c r="AK219" s="33">
        <f t="shared" si="16"/>
        <v>3.1996003066141042E-4</v>
      </c>
    </row>
    <row r="220" spans="1:37" x14ac:dyDescent="0.3">
      <c r="A220" t="s">
        <v>63</v>
      </c>
      <c r="B220" s="1">
        <v>2010</v>
      </c>
      <c r="C220" s="1" t="str">
        <f t="shared" si="15"/>
        <v>Mississippi, 2010</v>
      </c>
      <c r="D220" s="27">
        <v>107</v>
      </c>
      <c r="E220" s="27">
        <v>48</v>
      </c>
      <c r="F220" s="27">
        <v>39</v>
      </c>
      <c r="G220" s="27">
        <v>57</v>
      </c>
      <c r="H220" s="27">
        <v>58</v>
      </c>
      <c r="I220" s="27">
        <v>59</v>
      </c>
      <c r="J220" s="27">
        <v>67</v>
      </c>
      <c r="K220" s="27">
        <v>66</v>
      </c>
      <c r="L220" s="27">
        <v>135</v>
      </c>
      <c r="M220" s="27">
        <v>225</v>
      </c>
      <c r="N220" s="27">
        <v>41</v>
      </c>
      <c r="O220" s="28">
        <v>902</v>
      </c>
      <c r="P220" s="29">
        <v>199939.44999999995</v>
      </c>
      <c r="Q220" s="30">
        <v>398252.33499999996</v>
      </c>
      <c r="R220" s="30">
        <v>424340.39299999998</v>
      </c>
      <c r="S220" s="30">
        <v>364378.14799999981</v>
      </c>
      <c r="T220" s="30">
        <v>369638.68599999993</v>
      </c>
      <c r="U220" s="30">
        <v>397130.7699999999</v>
      </c>
      <c r="V220" s="30">
        <v>315735.36099999992</v>
      </c>
      <c r="W220" s="30">
        <v>195663.83799999999</v>
      </c>
      <c r="X220" s="30">
        <v>113743.39799999997</v>
      </c>
      <c r="Y220" s="30">
        <v>41388.429999999993</v>
      </c>
      <c r="Z220" s="31">
        <v>2821136</v>
      </c>
      <c r="AA220" s="32">
        <f t="shared" si="14"/>
        <v>5.3516202030164648E-4</v>
      </c>
      <c r="AB220" s="32">
        <f t="shared" si="14"/>
        <v>1.2052660030229328E-4</v>
      </c>
      <c r="AC220" s="32">
        <f t="shared" si="14"/>
        <v>9.1907347599595591E-5</v>
      </c>
      <c r="AD220" s="32">
        <f t="shared" si="14"/>
        <v>1.564308955212101E-4</v>
      </c>
      <c r="AE220" s="32">
        <f t="shared" si="14"/>
        <v>1.5690998317205362E-4</v>
      </c>
      <c r="AF220" s="32">
        <f t="shared" si="13"/>
        <v>1.4856567271279438E-4</v>
      </c>
      <c r="AG220" s="32">
        <f t="shared" si="13"/>
        <v>2.1220302910575803E-4</v>
      </c>
      <c r="AH220" s="32">
        <f t="shared" si="13"/>
        <v>3.3731322391825926E-4</v>
      </c>
      <c r="AI220" s="32">
        <f t="shared" si="13"/>
        <v>1.1868820729269934E-3</v>
      </c>
      <c r="AJ220" s="32">
        <f t="shared" si="13"/>
        <v>5.436301884367202E-3</v>
      </c>
      <c r="AK220" s="33">
        <f t="shared" si="16"/>
        <v>3.1972935725183048E-4</v>
      </c>
    </row>
    <row r="221" spans="1:37" x14ac:dyDescent="0.3">
      <c r="A221" t="s">
        <v>63</v>
      </c>
      <c r="B221" s="1">
        <v>2011</v>
      </c>
      <c r="C221" s="1" t="str">
        <f t="shared" si="15"/>
        <v>Mississippi, 2011</v>
      </c>
      <c r="D221" s="27">
        <v>116</v>
      </c>
      <c r="E221" s="27">
        <v>52</v>
      </c>
      <c r="F221" s="27">
        <v>49</v>
      </c>
      <c r="G221" s="27">
        <v>58</v>
      </c>
      <c r="H221" s="27">
        <v>56</v>
      </c>
      <c r="I221" s="27">
        <v>54</v>
      </c>
      <c r="J221" s="27">
        <v>73</v>
      </c>
      <c r="K221" s="27">
        <v>70</v>
      </c>
      <c r="L221" s="27">
        <v>201</v>
      </c>
      <c r="M221" s="27">
        <v>217</v>
      </c>
      <c r="N221" s="27">
        <v>71</v>
      </c>
      <c r="O221" s="28">
        <v>1017</v>
      </c>
      <c r="P221" s="29">
        <v>194956.18799999997</v>
      </c>
      <c r="Q221" s="30">
        <v>388232.74400000001</v>
      </c>
      <c r="R221" s="30">
        <v>401399.57899999997</v>
      </c>
      <c r="S221" s="30">
        <v>354677.64499999996</v>
      </c>
      <c r="T221" s="30">
        <v>358011.70899999997</v>
      </c>
      <c r="U221" s="30">
        <v>388506.30599999987</v>
      </c>
      <c r="V221" s="30">
        <v>317630.16200000007</v>
      </c>
      <c r="W221" s="30">
        <v>195223.807</v>
      </c>
      <c r="X221" s="30">
        <v>110996.97600000001</v>
      </c>
      <c r="Y221" s="30">
        <v>40227.714</v>
      </c>
      <c r="Z221" s="31">
        <v>2750524</v>
      </c>
      <c r="AA221" s="32">
        <f t="shared" si="14"/>
        <v>5.9500547887200185E-4</v>
      </c>
      <c r="AB221" s="32">
        <f t="shared" si="14"/>
        <v>1.3394027372405249E-4</v>
      </c>
      <c r="AC221" s="32">
        <f t="shared" si="14"/>
        <v>1.220728734247128E-4</v>
      </c>
      <c r="AD221" s="32">
        <f t="shared" si="14"/>
        <v>1.6352877272544201E-4</v>
      </c>
      <c r="AE221" s="32">
        <f t="shared" si="14"/>
        <v>1.5641946504045767E-4</v>
      </c>
      <c r="AF221" s="32">
        <f t="shared" si="13"/>
        <v>1.3899388289465763E-4</v>
      </c>
      <c r="AG221" s="32">
        <f t="shared" si="13"/>
        <v>2.2982704016629246E-4</v>
      </c>
      <c r="AH221" s="32">
        <f t="shared" si="13"/>
        <v>3.5856282630529788E-4</v>
      </c>
      <c r="AI221" s="32">
        <f t="shared" si="13"/>
        <v>1.8108601445142071E-3</v>
      </c>
      <c r="AJ221" s="32">
        <f t="shared" si="13"/>
        <v>5.3942911098552601E-3</v>
      </c>
      <c r="AK221" s="33">
        <f t="shared" si="16"/>
        <v>3.6974772806926972E-4</v>
      </c>
    </row>
    <row r="222" spans="1:37" x14ac:dyDescent="0.3">
      <c r="A222" t="s">
        <v>63</v>
      </c>
      <c r="B222" s="1">
        <v>2012</v>
      </c>
      <c r="C222" s="1" t="str">
        <f t="shared" si="15"/>
        <v>Mississippi, 2012</v>
      </c>
      <c r="D222" s="27">
        <v>102</v>
      </c>
      <c r="E222" s="27">
        <v>55</v>
      </c>
      <c r="F222" s="27">
        <v>47</v>
      </c>
      <c r="G222" s="27">
        <v>75</v>
      </c>
      <c r="H222" s="27">
        <v>33</v>
      </c>
      <c r="I222" s="27">
        <v>62</v>
      </c>
      <c r="J222" s="27">
        <v>70</v>
      </c>
      <c r="K222" s="27">
        <v>92</v>
      </c>
      <c r="L222" s="27">
        <v>129</v>
      </c>
      <c r="M222" s="27">
        <v>237</v>
      </c>
      <c r="N222" s="27">
        <v>54</v>
      </c>
      <c r="O222" s="28">
        <v>956</v>
      </c>
      <c r="P222" s="29">
        <v>196358.76899999985</v>
      </c>
      <c r="Q222" s="30">
        <v>390872.84800000006</v>
      </c>
      <c r="R222" s="30">
        <v>412935.95500000007</v>
      </c>
      <c r="S222" s="30">
        <v>361351.96100000001</v>
      </c>
      <c r="T222" s="30">
        <v>353223.70300000015</v>
      </c>
      <c r="U222" s="30">
        <v>386832.54299999989</v>
      </c>
      <c r="V222" s="30">
        <v>327670.47900000005</v>
      </c>
      <c r="W222" s="30">
        <v>202950.18099999984</v>
      </c>
      <c r="X222" s="30">
        <v>112951.11399999996</v>
      </c>
      <c r="Y222" s="30">
        <v>42044.02199999999</v>
      </c>
      <c r="Z222" s="31">
        <v>2787027</v>
      </c>
      <c r="AA222" s="32">
        <f t="shared" si="14"/>
        <v>5.1945732049277649E-4</v>
      </c>
      <c r="AB222" s="32">
        <f t="shared" si="14"/>
        <v>1.4071072033123159E-4</v>
      </c>
      <c r="AC222" s="32">
        <f t="shared" si="14"/>
        <v>1.1381910301320211E-4</v>
      </c>
      <c r="AD222" s="32">
        <f t="shared" si="14"/>
        <v>2.0755387570734672E-4</v>
      </c>
      <c r="AE222" s="32">
        <f t="shared" si="14"/>
        <v>9.3425213879262195E-5</v>
      </c>
      <c r="AF222" s="32">
        <f t="shared" si="13"/>
        <v>1.6027607067174804E-4</v>
      </c>
      <c r="AG222" s="32">
        <f t="shared" si="13"/>
        <v>2.1362925404091708E-4</v>
      </c>
      <c r="AH222" s="32">
        <f t="shared" si="13"/>
        <v>4.5331321976007537E-4</v>
      </c>
      <c r="AI222" s="32">
        <f t="shared" si="13"/>
        <v>1.1420870094295842E-3</v>
      </c>
      <c r="AJ222" s="32">
        <f t="shared" si="13"/>
        <v>5.6369488152203913E-3</v>
      </c>
      <c r="AK222" s="33">
        <f t="shared" si="16"/>
        <v>3.4301784661576657E-4</v>
      </c>
    </row>
    <row r="223" spans="1:37" x14ac:dyDescent="0.3">
      <c r="A223" t="s">
        <v>63</v>
      </c>
      <c r="B223" s="1">
        <v>2013</v>
      </c>
      <c r="C223" s="1" t="str">
        <f t="shared" si="15"/>
        <v>Mississippi, 2013</v>
      </c>
      <c r="D223" s="27">
        <v>89</v>
      </c>
      <c r="E223" s="27">
        <v>45</v>
      </c>
      <c r="F223" s="27">
        <v>53</v>
      </c>
      <c r="G223" s="27">
        <v>56</v>
      </c>
      <c r="H223" s="27">
        <v>67</v>
      </c>
      <c r="I223" s="27">
        <v>64</v>
      </c>
      <c r="J223" s="27">
        <v>74</v>
      </c>
      <c r="K223" s="27">
        <v>107</v>
      </c>
      <c r="L223" s="27">
        <v>209</v>
      </c>
      <c r="M223" s="27">
        <v>282</v>
      </c>
      <c r="N223" s="27">
        <v>78</v>
      </c>
      <c r="O223" s="28">
        <v>1124</v>
      </c>
      <c r="P223" s="29">
        <v>194861.64199999996</v>
      </c>
      <c r="Q223" s="30">
        <v>392488.53399999975</v>
      </c>
      <c r="R223" s="30">
        <v>413224.6810000001</v>
      </c>
      <c r="S223" s="30">
        <v>364495.42800000001</v>
      </c>
      <c r="T223" s="30">
        <v>350296.99399999995</v>
      </c>
      <c r="U223" s="30">
        <v>383329.37599999993</v>
      </c>
      <c r="V223" s="30">
        <v>336729.13299999986</v>
      </c>
      <c r="W223" s="30">
        <v>210909.88800000001</v>
      </c>
      <c r="X223" s="30">
        <v>116784.51800000004</v>
      </c>
      <c r="Y223" s="30">
        <v>43713.428000000007</v>
      </c>
      <c r="Z223" s="31">
        <v>2807318</v>
      </c>
      <c r="AA223" s="32">
        <f t="shared" si="14"/>
        <v>4.5673432229417435E-4</v>
      </c>
      <c r="AB223" s="32">
        <f t="shared" si="14"/>
        <v>1.1465303085771171E-4</v>
      </c>
      <c r="AC223" s="32">
        <f t="shared" si="14"/>
        <v>1.2825952184593735E-4</v>
      </c>
      <c r="AD223" s="32">
        <f t="shared" si="14"/>
        <v>1.5363704369976349E-4</v>
      </c>
      <c r="AE223" s="32">
        <f t="shared" si="14"/>
        <v>1.9126627161408075E-4</v>
      </c>
      <c r="AF223" s="32">
        <f t="shared" si="13"/>
        <v>1.6695824532894659E-4</v>
      </c>
      <c r="AG223" s="32">
        <f t="shared" si="13"/>
        <v>2.1976120492075163E-4</v>
      </c>
      <c r="AH223" s="32">
        <f t="shared" si="13"/>
        <v>5.0732566886574804E-4</v>
      </c>
      <c r="AI223" s="32">
        <f t="shared" si="13"/>
        <v>1.789620778329538E-3</v>
      </c>
      <c r="AJ223" s="32">
        <f t="shared" si="13"/>
        <v>6.4511069687785624E-3</v>
      </c>
      <c r="AK223" s="33">
        <f t="shared" si="16"/>
        <v>4.0038214409625128E-4</v>
      </c>
    </row>
    <row r="224" spans="1:37" x14ac:dyDescent="0.3">
      <c r="A224" t="s">
        <v>63</v>
      </c>
      <c r="B224" s="1">
        <v>2014</v>
      </c>
      <c r="C224" s="1" t="str">
        <f t="shared" si="15"/>
        <v>Mississippi, 2014</v>
      </c>
      <c r="D224" s="27">
        <v>131</v>
      </c>
      <c r="E224" s="27">
        <v>61</v>
      </c>
      <c r="F224" s="27">
        <v>51</v>
      </c>
      <c r="G224" s="27">
        <v>47</v>
      </c>
      <c r="H224" s="27">
        <v>52</v>
      </c>
      <c r="I224" s="27">
        <v>71</v>
      </c>
      <c r="J224" s="27">
        <v>99</v>
      </c>
      <c r="K224" s="27">
        <v>124</v>
      </c>
      <c r="L224" s="27">
        <v>197</v>
      </c>
      <c r="M224" s="27">
        <v>240</v>
      </c>
      <c r="N224" s="27">
        <v>69</v>
      </c>
      <c r="O224" s="28">
        <v>1142</v>
      </c>
      <c r="P224" s="29">
        <v>179138.15400000007</v>
      </c>
      <c r="Q224" s="30">
        <v>372186.78800000006</v>
      </c>
      <c r="R224" s="30">
        <v>384353.50699999993</v>
      </c>
      <c r="S224" s="30">
        <v>348159.65600000002</v>
      </c>
      <c r="T224" s="30">
        <v>335917.82700000005</v>
      </c>
      <c r="U224" s="30">
        <v>364983.46899999998</v>
      </c>
      <c r="V224" s="30">
        <v>330026.03899999999</v>
      </c>
      <c r="W224" s="30">
        <v>209799.37100000007</v>
      </c>
      <c r="X224" s="30">
        <v>114206.21000000004</v>
      </c>
      <c r="Y224" s="30">
        <v>42913.965000000004</v>
      </c>
      <c r="Z224" s="31">
        <v>2681888</v>
      </c>
      <c r="AA224" s="32">
        <f t="shared" si="14"/>
        <v>7.312791668044092E-4</v>
      </c>
      <c r="AB224" s="32">
        <f t="shared" si="14"/>
        <v>1.6389619934601224E-4</v>
      </c>
      <c r="AC224" s="32">
        <f t="shared" si="14"/>
        <v>1.3269034644192802E-4</v>
      </c>
      <c r="AD224" s="32">
        <f t="shared" si="14"/>
        <v>1.3499553779430435E-4</v>
      </c>
      <c r="AE224" s="32">
        <f t="shared" si="14"/>
        <v>1.5479976297893828E-4</v>
      </c>
      <c r="AF224" s="32">
        <f t="shared" si="13"/>
        <v>1.9452935825978464E-4</v>
      </c>
      <c r="AG224" s="32">
        <f t="shared" si="13"/>
        <v>2.9997633004952073E-4</v>
      </c>
      <c r="AH224" s="32">
        <f t="shared" si="13"/>
        <v>5.9104085683841232E-4</v>
      </c>
      <c r="AI224" s="32">
        <f t="shared" si="13"/>
        <v>1.7249499830175605E-3</v>
      </c>
      <c r="AJ224" s="32">
        <f t="shared" si="13"/>
        <v>5.5925850710835034E-3</v>
      </c>
      <c r="AK224" s="33">
        <f t="shared" si="16"/>
        <v>4.2581942273502848E-4</v>
      </c>
    </row>
    <row r="225" spans="1:37" x14ac:dyDescent="0.3">
      <c r="A225" t="s">
        <v>63</v>
      </c>
      <c r="B225" s="1">
        <v>2015</v>
      </c>
      <c r="C225" s="1" t="str">
        <f t="shared" si="15"/>
        <v>Mississippi, 2015</v>
      </c>
      <c r="D225" s="27">
        <v>104</v>
      </c>
      <c r="E225" s="27">
        <v>64</v>
      </c>
      <c r="F225" s="27">
        <v>67</v>
      </c>
      <c r="G225" s="27">
        <v>50</v>
      </c>
      <c r="H225" s="27">
        <v>46</v>
      </c>
      <c r="I225" s="27">
        <v>47</v>
      </c>
      <c r="J225" s="27">
        <v>68</v>
      </c>
      <c r="K225" s="27">
        <v>143</v>
      </c>
      <c r="L225" s="27">
        <v>210</v>
      </c>
      <c r="M225" s="27">
        <v>290</v>
      </c>
      <c r="N225" s="27">
        <v>35</v>
      </c>
      <c r="O225" s="28">
        <v>1124</v>
      </c>
      <c r="P225" s="29">
        <v>179959.01600000006</v>
      </c>
      <c r="Q225" s="30">
        <v>379820.88999999984</v>
      </c>
      <c r="R225" s="30">
        <v>398912.83400000015</v>
      </c>
      <c r="S225" s="30">
        <v>357931.25000000012</v>
      </c>
      <c r="T225" s="30">
        <v>343271.06299999991</v>
      </c>
      <c r="U225" s="30">
        <v>366569.53400000004</v>
      </c>
      <c r="V225" s="30">
        <v>339369.06799999991</v>
      </c>
      <c r="W225" s="30">
        <v>221402.68599999999</v>
      </c>
      <c r="X225" s="30">
        <v>115831.754</v>
      </c>
      <c r="Y225" s="30">
        <v>43201.838999999993</v>
      </c>
      <c r="Z225" s="31">
        <v>2745691</v>
      </c>
      <c r="AA225" s="32">
        <f t="shared" si="14"/>
        <v>5.7790936131813463E-4</v>
      </c>
      <c r="AB225" s="32">
        <f t="shared" si="14"/>
        <v>1.6850047399973188E-4</v>
      </c>
      <c r="AC225" s="32">
        <f t="shared" si="14"/>
        <v>1.6795649146750686E-4</v>
      </c>
      <c r="AD225" s="32">
        <f t="shared" si="14"/>
        <v>1.3969163072517413E-4</v>
      </c>
      <c r="AE225" s="32">
        <f t="shared" si="14"/>
        <v>1.3400488697761282E-4</v>
      </c>
      <c r="AF225" s="32">
        <f t="shared" si="13"/>
        <v>1.282157834753392E-4</v>
      </c>
      <c r="AG225" s="32">
        <f t="shared" si="13"/>
        <v>2.003718264623929E-4</v>
      </c>
      <c r="AH225" s="32">
        <f t="shared" si="13"/>
        <v>6.4588195646370799E-4</v>
      </c>
      <c r="AI225" s="32">
        <f t="shared" si="13"/>
        <v>1.8129743593453657E-3</v>
      </c>
      <c r="AJ225" s="32">
        <f t="shared" si="13"/>
        <v>6.7126772080234841E-3</v>
      </c>
      <c r="AK225" s="33">
        <f t="shared" si="16"/>
        <v>4.0936871629036189E-4</v>
      </c>
    </row>
    <row r="226" spans="1:37" x14ac:dyDescent="0.3">
      <c r="A226" t="s">
        <v>63</v>
      </c>
      <c r="B226" s="1">
        <v>2016</v>
      </c>
      <c r="C226" s="1" t="str">
        <f t="shared" si="15"/>
        <v>Mississippi, 2016</v>
      </c>
      <c r="D226" s="27">
        <v>122</v>
      </c>
      <c r="E226" s="27">
        <v>70</v>
      </c>
      <c r="F226" s="27">
        <v>50</v>
      </c>
      <c r="G226" s="27">
        <v>27</v>
      </c>
      <c r="H226" s="27">
        <v>42</v>
      </c>
      <c r="I226" s="27">
        <v>75</v>
      </c>
      <c r="J226" s="27">
        <v>80</v>
      </c>
      <c r="K226" s="27">
        <v>151</v>
      </c>
      <c r="L226" s="27">
        <v>206</v>
      </c>
      <c r="M226" s="27">
        <v>263</v>
      </c>
      <c r="N226" s="27">
        <v>32</v>
      </c>
      <c r="O226" s="28">
        <v>1118</v>
      </c>
      <c r="P226" s="29">
        <v>175609.62299999991</v>
      </c>
      <c r="Q226" s="30">
        <v>377903.49700000009</v>
      </c>
      <c r="R226" s="30">
        <v>397242.35800000007</v>
      </c>
      <c r="S226" s="30">
        <v>355820.66</v>
      </c>
      <c r="T226" s="30">
        <v>338665.58800000005</v>
      </c>
      <c r="U226" s="30">
        <v>355838.408</v>
      </c>
      <c r="V226" s="30">
        <v>340674.95299999986</v>
      </c>
      <c r="W226" s="30">
        <v>227175.47299999997</v>
      </c>
      <c r="X226" s="30">
        <v>115976.77399999998</v>
      </c>
      <c r="Y226" s="30">
        <v>44271.71699999999</v>
      </c>
      <c r="Z226" s="31">
        <v>2729329</v>
      </c>
      <c r="AA226" s="32">
        <f t="shared" si="14"/>
        <v>6.9472274876417257E-4</v>
      </c>
      <c r="AB226" s="32">
        <f t="shared" si="14"/>
        <v>1.8523247483999858E-4</v>
      </c>
      <c r="AC226" s="32">
        <f t="shared" si="14"/>
        <v>1.2586774545326809E-4</v>
      </c>
      <c r="AD226" s="32">
        <f t="shared" si="14"/>
        <v>7.5880922709771828E-5</v>
      </c>
      <c r="AE226" s="32">
        <f t="shared" si="14"/>
        <v>1.240161430277941E-4</v>
      </c>
      <c r="AF226" s="32">
        <f t="shared" si="13"/>
        <v>2.1076982785961655E-4</v>
      </c>
      <c r="AG226" s="32">
        <f t="shared" si="13"/>
        <v>2.3482794756560818E-4</v>
      </c>
      <c r="AH226" s="32">
        <f t="shared" si="13"/>
        <v>6.6468443096407695E-4</v>
      </c>
      <c r="AI226" s="32">
        <f t="shared" si="13"/>
        <v>1.7762177106254054E-3</v>
      </c>
      <c r="AJ226" s="32">
        <f t="shared" si="13"/>
        <v>5.9405873054347554E-3</v>
      </c>
      <c r="AK226" s="33">
        <f t="shared" si="16"/>
        <v>4.0962449012193108E-4</v>
      </c>
    </row>
    <row r="227" spans="1:37" x14ac:dyDescent="0.3">
      <c r="A227" t="s">
        <v>63</v>
      </c>
      <c r="B227" s="1">
        <v>2017</v>
      </c>
      <c r="C227" s="1" t="str">
        <f t="shared" si="15"/>
        <v>Mississippi, 2017</v>
      </c>
      <c r="D227" s="27">
        <v>103</v>
      </c>
      <c r="E227" s="27">
        <v>45</v>
      </c>
      <c r="F227" s="27">
        <v>39</v>
      </c>
      <c r="G227" s="27">
        <v>37</v>
      </c>
      <c r="H227" s="27">
        <v>68</v>
      </c>
      <c r="I227" s="27">
        <v>50</v>
      </c>
      <c r="J227" s="27">
        <v>95</v>
      </c>
      <c r="K227" s="27">
        <v>157</v>
      </c>
      <c r="L227" s="27">
        <v>212</v>
      </c>
      <c r="M227" s="27">
        <v>219</v>
      </c>
      <c r="N227" s="27">
        <v>48</v>
      </c>
      <c r="O227" s="28">
        <v>1073</v>
      </c>
      <c r="P227" s="29">
        <v>147192</v>
      </c>
      <c r="Q227" s="30">
        <v>317330</v>
      </c>
      <c r="R227" s="30">
        <v>332514</v>
      </c>
      <c r="S227" s="30">
        <v>300741</v>
      </c>
      <c r="T227" s="30">
        <v>288464</v>
      </c>
      <c r="U227" s="30">
        <v>305137</v>
      </c>
      <c r="V227" s="30">
        <v>303225</v>
      </c>
      <c r="W227" s="30">
        <v>209269</v>
      </c>
      <c r="X227" s="30">
        <v>106615</v>
      </c>
      <c r="Y227" s="30">
        <v>39328</v>
      </c>
      <c r="Z227" s="31">
        <v>2349815</v>
      </c>
      <c r="AA227" s="32">
        <f t="shared" si="14"/>
        <v>6.9976629164628513E-4</v>
      </c>
      <c r="AB227" s="32">
        <f t="shared" si="14"/>
        <v>1.4180821227113729E-4</v>
      </c>
      <c r="AC227" s="32">
        <f t="shared" si="14"/>
        <v>1.172882946281961E-4</v>
      </c>
      <c r="AD227" s="32">
        <f t="shared" si="14"/>
        <v>1.230294505903751E-4</v>
      </c>
      <c r="AE227" s="32">
        <f t="shared" si="14"/>
        <v>2.3573132175938764E-4</v>
      </c>
      <c r="AF227" s="32">
        <f t="shared" si="13"/>
        <v>1.6386082317123129E-4</v>
      </c>
      <c r="AG227" s="32">
        <f t="shared" si="13"/>
        <v>3.1329870558166378E-4</v>
      </c>
      <c r="AH227" s="32">
        <f t="shared" si="13"/>
        <v>7.5023056448876807E-4</v>
      </c>
      <c r="AI227" s="32">
        <f t="shared" si="13"/>
        <v>1.988463161844018E-3</v>
      </c>
      <c r="AJ227" s="32">
        <f t="shared" si="13"/>
        <v>5.5685516680227826E-3</v>
      </c>
      <c r="AK227" s="33">
        <f t="shared" si="16"/>
        <v>4.566316922821584E-4</v>
      </c>
    </row>
    <row r="228" spans="1:37" x14ac:dyDescent="0.3">
      <c r="A228" t="s">
        <v>64</v>
      </c>
      <c r="B228" s="1">
        <v>2009</v>
      </c>
      <c r="C228" s="1" t="str">
        <f t="shared" si="15"/>
        <v>Missouri, 2009</v>
      </c>
      <c r="D228" s="27">
        <v>95</v>
      </c>
      <c r="E228" s="27">
        <v>57</v>
      </c>
      <c r="F228" s="27">
        <v>66</v>
      </c>
      <c r="G228" s="27">
        <v>62</v>
      </c>
      <c r="H228" s="27">
        <v>62</v>
      </c>
      <c r="I228" s="27">
        <v>57</v>
      </c>
      <c r="J228" s="27">
        <v>92</v>
      </c>
      <c r="K228" s="27">
        <v>155</v>
      </c>
      <c r="L228" s="27">
        <v>346</v>
      </c>
      <c r="M228" s="27">
        <v>620</v>
      </c>
      <c r="N228" s="27">
        <v>52</v>
      </c>
      <c r="O228" s="28">
        <v>1664</v>
      </c>
      <c r="P228" s="29">
        <v>387831.1779999999</v>
      </c>
      <c r="Q228" s="30">
        <v>765931.51899999997</v>
      </c>
      <c r="R228" s="30">
        <v>823917.65599999996</v>
      </c>
      <c r="S228" s="30">
        <v>743732.13800000004</v>
      </c>
      <c r="T228" s="30">
        <v>785589.5950000002</v>
      </c>
      <c r="U228" s="30">
        <v>855733.82600000047</v>
      </c>
      <c r="V228" s="30">
        <v>643494.84899999993</v>
      </c>
      <c r="W228" s="30">
        <v>399549.63699999987</v>
      </c>
      <c r="X228" s="30">
        <v>269276.93200000015</v>
      </c>
      <c r="Y228" s="30">
        <v>108359.32899999998</v>
      </c>
      <c r="Z228" s="31">
        <v>5784755</v>
      </c>
      <c r="AA228" s="32">
        <f t="shared" si="14"/>
        <v>2.4495194143468274E-4</v>
      </c>
      <c r="AB228" s="32">
        <f t="shared" si="14"/>
        <v>7.4419185770575403E-5</v>
      </c>
      <c r="AC228" s="32">
        <f t="shared" si="14"/>
        <v>8.0105092443849755E-5</v>
      </c>
      <c r="AD228" s="32">
        <f t="shared" si="14"/>
        <v>8.3363346603155663E-5</v>
      </c>
      <c r="AE228" s="32">
        <f t="shared" si="14"/>
        <v>7.8921615554238575E-5</v>
      </c>
      <c r="AF228" s="32">
        <f t="shared" si="13"/>
        <v>6.660949733217624E-5</v>
      </c>
      <c r="AG228" s="32">
        <f t="shared" si="13"/>
        <v>1.4296928738896558E-4</v>
      </c>
      <c r="AH228" s="32">
        <f t="shared" si="13"/>
        <v>3.8793678093117641E-4</v>
      </c>
      <c r="AI228" s="32">
        <f t="shared" si="13"/>
        <v>1.28492254212106E-3</v>
      </c>
      <c r="AJ228" s="32">
        <f t="shared" si="13"/>
        <v>5.7217039429987623E-3</v>
      </c>
      <c r="AK228" s="33">
        <f t="shared" si="16"/>
        <v>2.8765263178820883E-4</v>
      </c>
    </row>
    <row r="229" spans="1:37" x14ac:dyDescent="0.3">
      <c r="A229" t="s">
        <v>64</v>
      </c>
      <c r="B229" s="1">
        <v>2010</v>
      </c>
      <c r="C229" s="1" t="str">
        <f t="shared" si="15"/>
        <v>Missouri, 2010</v>
      </c>
      <c r="D229" s="27">
        <v>96</v>
      </c>
      <c r="E229" s="27">
        <v>39</v>
      </c>
      <c r="F229" s="27">
        <v>49</v>
      </c>
      <c r="G229" s="27">
        <v>55</v>
      </c>
      <c r="H229" s="27">
        <v>72</v>
      </c>
      <c r="I229" s="27">
        <v>56</v>
      </c>
      <c r="J229" s="27">
        <v>92</v>
      </c>
      <c r="K229" s="27">
        <v>127</v>
      </c>
      <c r="L229" s="27">
        <v>312</v>
      </c>
      <c r="M229" s="27">
        <v>568</v>
      </c>
      <c r="N229" s="27">
        <v>43</v>
      </c>
      <c r="O229" s="28">
        <v>1509</v>
      </c>
      <c r="P229" s="29">
        <v>374627.68199999997</v>
      </c>
      <c r="Q229" s="30">
        <v>761910.65399999986</v>
      </c>
      <c r="R229" s="30">
        <v>812003.995</v>
      </c>
      <c r="S229" s="30">
        <v>731949.92099999997</v>
      </c>
      <c r="T229" s="30">
        <v>756442.75400000019</v>
      </c>
      <c r="U229" s="30">
        <v>851335.17100000009</v>
      </c>
      <c r="V229" s="30">
        <v>659281.76399999973</v>
      </c>
      <c r="W229" s="30">
        <v>413230.48099999991</v>
      </c>
      <c r="X229" s="30">
        <v>263763.90700000006</v>
      </c>
      <c r="Y229" s="30">
        <v>107192.352</v>
      </c>
      <c r="Z229" s="31">
        <v>5730149</v>
      </c>
      <c r="AA229" s="32">
        <f t="shared" si="14"/>
        <v>2.5625442169006614E-4</v>
      </c>
      <c r="AB229" s="32">
        <f t="shared" si="14"/>
        <v>5.1187104150928445E-5</v>
      </c>
      <c r="AC229" s="32">
        <f t="shared" si="14"/>
        <v>6.0344530694088518E-5</v>
      </c>
      <c r="AD229" s="32">
        <f t="shared" si="14"/>
        <v>7.5141752764804244E-5</v>
      </c>
      <c r="AE229" s="32">
        <f t="shared" si="14"/>
        <v>9.5182351366670606E-5</v>
      </c>
      <c r="AF229" s="32">
        <f t="shared" si="13"/>
        <v>6.5779027940571238E-5</v>
      </c>
      <c r="AG229" s="32">
        <f t="shared" si="13"/>
        <v>1.3954579820593983E-4</v>
      </c>
      <c r="AH229" s="32">
        <f t="shared" si="13"/>
        <v>3.0733454050307587E-4</v>
      </c>
      <c r="AI229" s="32">
        <f t="shared" si="13"/>
        <v>1.1828760179837642E-3</v>
      </c>
      <c r="AJ229" s="32">
        <f t="shared" si="13"/>
        <v>5.2988855025776467E-3</v>
      </c>
      <c r="AK229" s="33">
        <f t="shared" si="16"/>
        <v>2.6334393747876365E-4</v>
      </c>
    </row>
    <row r="230" spans="1:37" x14ac:dyDescent="0.3">
      <c r="A230" t="s">
        <v>64</v>
      </c>
      <c r="B230" s="1">
        <v>2011</v>
      </c>
      <c r="C230" s="1" t="str">
        <f t="shared" si="15"/>
        <v>Missouri, 2011</v>
      </c>
      <c r="D230" s="27">
        <v>104</v>
      </c>
      <c r="E230" s="27">
        <v>55</v>
      </c>
      <c r="F230" s="27">
        <v>74</v>
      </c>
      <c r="G230" s="27">
        <v>61</v>
      </c>
      <c r="H230" s="27">
        <v>50</v>
      </c>
      <c r="I230" s="27">
        <v>57</v>
      </c>
      <c r="J230" s="27">
        <v>92</v>
      </c>
      <c r="K230" s="27">
        <v>138</v>
      </c>
      <c r="L230" s="27">
        <v>310</v>
      </c>
      <c r="M230" s="27">
        <v>562</v>
      </c>
      <c r="N230" s="27">
        <v>52</v>
      </c>
      <c r="O230" s="28">
        <v>1555</v>
      </c>
      <c r="P230" s="29">
        <v>374266.69799999992</v>
      </c>
      <c r="Q230" s="30">
        <v>757830.79999999993</v>
      </c>
      <c r="R230" s="30">
        <v>814859.65299999982</v>
      </c>
      <c r="S230" s="30">
        <v>746106.13500000013</v>
      </c>
      <c r="T230" s="30">
        <v>740527.95799999998</v>
      </c>
      <c r="U230" s="30">
        <v>850472.41700000025</v>
      </c>
      <c r="V230" s="30">
        <v>678959.03999999992</v>
      </c>
      <c r="W230" s="30">
        <v>417422.02799999993</v>
      </c>
      <c r="X230" s="30">
        <v>260676.47700000004</v>
      </c>
      <c r="Y230" s="30">
        <v>107880.28500000002</v>
      </c>
      <c r="Z230" s="31">
        <v>5750348</v>
      </c>
      <c r="AA230" s="32">
        <f t="shared" si="14"/>
        <v>2.7787671346596814E-4</v>
      </c>
      <c r="AB230" s="32">
        <f t="shared" si="14"/>
        <v>7.2575566999916083E-5</v>
      </c>
      <c r="AC230" s="32">
        <f t="shared" si="14"/>
        <v>9.0813184488347734E-5</v>
      </c>
      <c r="AD230" s="32">
        <f t="shared" si="14"/>
        <v>8.1757805141221621E-5</v>
      </c>
      <c r="AE230" s="32">
        <f t="shared" si="14"/>
        <v>6.7519395398708229E-5</v>
      </c>
      <c r="AF230" s="32">
        <f t="shared" si="13"/>
        <v>6.7021573963638588E-5</v>
      </c>
      <c r="AG230" s="32">
        <f t="shared" si="13"/>
        <v>1.355015466028702E-4</v>
      </c>
      <c r="AH230" s="32">
        <f t="shared" si="13"/>
        <v>3.306006648983077E-4</v>
      </c>
      <c r="AI230" s="32">
        <f t="shared" si="13"/>
        <v>1.1892135553143906E-3</v>
      </c>
      <c r="AJ230" s="32">
        <f t="shared" si="13"/>
        <v>5.2094782656534498E-3</v>
      </c>
      <c r="AK230" s="33">
        <f t="shared" si="16"/>
        <v>2.7041841641584129E-4</v>
      </c>
    </row>
    <row r="231" spans="1:37" x14ac:dyDescent="0.3">
      <c r="A231" t="s">
        <v>64</v>
      </c>
      <c r="B231" s="1">
        <v>2012</v>
      </c>
      <c r="C231" s="1" t="str">
        <f t="shared" si="15"/>
        <v>Missouri, 2012</v>
      </c>
      <c r="D231" s="27">
        <v>105</v>
      </c>
      <c r="E231" s="27">
        <v>65</v>
      </c>
      <c r="F231" s="27">
        <v>58</v>
      </c>
      <c r="G231" s="27">
        <v>70</v>
      </c>
      <c r="H231" s="27">
        <v>63</v>
      </c>
      <c r="I231" s="27">
        <v>57</v>
      </c>
      <c r="J231" s="27">
        <v>93</v>
      </c>
      <c r="K231" s="27">
        <v>132</v>
      </c>
      <c r="L231" s="27">
        <v>317</v>
      </c>
      <c r="M231" s="27">
        <v>573</v>
      </c>
      <c r="N231" s="27">
        <v>54</v>
      </c>
      <c r="O231" s="28">
        <v>1587</v>
      </c>
      <c r="P231" s="29">
        <v>373411.28699999989</v>
      </c>
      <c r="Q231" s="30">
        <v>760220.20899999968</v>
      </c>
      <c r="R231" s="30">
        <v>807614.78199999989</v>
      </c>
      <c r="S231" s="30">
        <v>752147.853</v>
      </c>
      <c r="T231" s="30">
        <v>726767.04399999999</v>
      </c>
      <c r="U231" s="30">
        <v>845881.22599999979</v>
      </c>
      <c r="V231" s="30">
        <v>699628.35</v>
      </c>
      <c r="W231" s="30">
        <v>434502.49999999988</v>
      </c>
      <c r="X231" s="30">
        <v>260131.42499999993</v>
      </c>
      <c r="Y231" s="30">
        <v>110143.23299999999</v>
      </c>
      <c r="Z231" s="31">
        <v>5771545</v>
      </c>
      <c r="AA231" s="32">
        <f t="shared" si="14"/>
        <v>2.8119128600416417E-4</v>
      </c>
      <c r="AB231" s="32">
        <f t="shared" si="14"/>
        <v>8.5501541830230443E-5</v>
      </c>
      <c r="AC231" s="32">
        <f t="shared" si="14"/>
        <v>7.1816417050177275E-5</v>
      </c>
      <c r="AD231" s="32">
        <f t="shared" si="14"/>
        <v>9.3066808235640869E-5</v>
      </c>
      <c r="AE231" s="32">
        <f t="shared" si="14"/>
        <v>8.6685273527620219E-5</v>
      </c>
      <c r="AF231" s="32">
        <f t="shared" si="13"/>
        <v>6.7385347077084811E-5</v>
      </c>
      <c r="AG231" s="32">
        <f t="shared" si="13"/>
        <v>1.3292771798055353E-4</v>
      </c>
      <c r="AH231" s="32">
        <f t="shared" si="13"/>
        <v>3.0379572039286319E-4</v>
      </c>
      <c r="AI231" s="32">
        <f t="shared" si="13"/>
        <v>1.2186147828929168E-3</v>
      </c>
      <c r="AJ231" s="32">
        <f t="shared" si="13"/>
        <v>5.2023168776968807E-3</v>
      </c>
      <c r="AK231" s="33">
        <f t="shared" si="16"/>
        <v>2.7496970048747777E-4</v>
      </c>
    </row>
    <row r="232" spans="1:37" x14ac:dyDescent="0.3">
      <c r="A232" t="s">
        <v>64</v>
      </c>
      <c r="B232" s="1">
        <v>2013</v>
      </c>
      <c r="C232" s="1" t="str">
        <f t="shared" si="15"/>
        <v>Missouri, 2013</v>
      </c>
      <c r="D232" s="27">
        <v>107</v>
      </c>
      <c r="E232" s="27">
        <v>60</v>
      </c>
      <c r="F232" s="27">
        <v>39</v>
      </c>
      <c r="G232" s="27">
        <v>60</v>
      </c>
      <c r="H232" s="27">
        <v>58</v>
      </c>
      <c r="I232" s="27">
        <v>52</v>
      </c>
      <c r="J232" s="27">
        <v>104</v>
      </c>
      <c r="K232" s="27">
        <v>165</v>
      </c>
      <c r="L232" s="27">
        <v>318</v>
      </c>
      <c r="M232" s="27">
        <v>647</v>
      </c>
      <c r="N232" s="27">
        <v>50</v>
      </c>
      <c r="O232" s="28">
        <v>1660</v>
      </c>
      <c r="P232" s="29">
        <v>352808.87699999992</v>
      </c>
      <c r="Q232" s="30">
        <v>729043.70700000005</v>
      </c>
      <c r="R232" s="30">
        <v>774484.28999999992</v>
      </c>
      <c r="S232" s="30">
        <v>737011.58400000015</v>
      </c>
      <c r="T232" s="30">
        <v>690355.55699999991</v>
      </c>
      <c r="U232" s="30">
        <v>804730.88499999989</v>
      </c>
      <c r="V232" s="30">
        <v>686410.0699999996</v>
      </c>
      <c r="W232" s="30">
        <v>426611.49599999969</v>
      </c>
      <c r="X232" s="30">
        <v>250049.34900000002</v>
      </c>
      <c r="Y232" s="30">
        <v>106633.93799999997</v>
      </c>
      <c r="Z232" s="31">
        <v>5558527</v>
      </c>
      <c r="AA232" s="32">
        <f t="shared" si="14"/>
        <v>3.0328035085126282E-4</v>
      </c>
      <c r="AB232" s="32">
        <f t="shared" si="14"/>
        <v>8.2299592498917204E-5</v>
      </c>
      <c r="AC232" s="32">
        <f t="shared" si="14"/>
        <v>5.0356089211312474E-5</v>
      </c>
      <c r="AD232" s="32">
        <f t="shared" si="14"/>
        <v>8.1409846605613175E-5</v>
      </c>
      <c r="AE232" s="32">
        <f t="shared" si="14"/>
        <v>8.4014678250790139E-5</v>
      </c>
      <c r="AF232" s="32">
        <f t="shared" si="13"/>
        <v>6.4617875328595111E-5</v>
      </c>
      <c r="AG232" s="32">
        <f t="shared" si="13"/>
        <v>1.5151292870747084E-4</v>
      </c>
      <c r="AH232" s="32">
        <f t="shared" si="13"/>
        <v>3.8676876161818227E-4</v>
      </c>
      <c r="AI232" s="32">
        <f t="shared" si="13"/>
        <v>1.2717489618419282E-3</v>
      </c>
      <c r="AJ232" s="32">
        <f t="shared" si="13"/>
        <v>6.0674866945268418E-3</v>
      </c>
      <c r="AK232" s="33">
        <f t="shared" si="16"/>
        <v>2.9864026926558062E-4</v>
      </c>
    </row>
    <row r="233" spans="1:37" x14ac:dyDescent="0.3">
      <c r="A233" t="s">
        <v>64</v>
      </c>
      <c r="B233" s="1">
        <v>2014</v>
      </c>
      <c r="C233" s="1" t="str">
        <f t="shared" si="15"/>
        <v>Missouri, 2014</v>
      </c>
      <c r="D233" s="27">
        <v>126</v>
      </c>
      <c r="E233" s="27">
        <v>47</v>
      </c>
      <c r="F233" s="27">
        <v>62</v>
      </c>
      <c r="G233" s="27">
        <v>55</v>
      </c>
      <c r="H233" s="27">
        <v>50</v>
      </c>
      <c r="I233" s="27">
        <v>56</v>
      </c>
      <c r="J233" s="27">
        <v>104</v>
      </c>
      <c r="K233" s="27">
        <v>156</v>
      </c>
      <c r="L233" s="27">
        <v>355</v>
      </c>
      <c r="M233" s="27">
        <v>586</v>
      </c>
      <c r="N233" s="27">
        <v>56</v>
      </c>
      <c r="O233" s="28">
        <v>1653</v>
      </c>
      <c r="P233" s="29">
        <v>363787.67300000013</v>
      </c>
      <c r="Q233" s="30">
        <v>751374.37600000005</v>
      </c>
      <c r="R233" s="30">
        <v>804784.12200000009</v>
      </c>
      <c r="S233" s="30">
        <v>757798.18400000012</v>
      </c>
      <c r="T233" s="30">
        <v>703709.44800000021</v>
      </c>
      <c r="U233" s="30">
        <v>814566.12799999968</v>
      </c>
      <c r="V233" s="30">
        <v>730116.57599999965</v>
      </c>
      <c r="W233" s="30">
        <v>461042.45699999988</v>
      </c>
      <c r="X233" s="30">
        <v>263287.42599999998</v>
      </c>
      <c r="Y233" s="30">
        <v>113193.62299999996</v>
      </c>
      <c r="Z233" s="31">
        <v>5764696</v>
      </c>
      <c r="AA233" s="32">
        <f t="shared" si="14"/>
        <v>3.4635588105812469E-4</v>
      </c>
      <c r="AB233" s="32">
        <f t="shared" si="14"/>
        <v>6.2552039970018879E-5</v>
      </c>
      <c r="AC233" s="32">
        <f t="shared" si="14"/>
        <v>7.7039293277707084E-5</v>
      </c>
      <c r="AD233" s="32">
        <f t="shared" si="14"/>
        <v>7.2578690687387541E-5</v>
      </c>
      <c r="AE233" s="32">
        <f t="shared" si="14"/>
        <v>7.1052051584789849E-5</v>
      </c>
      <c r="AF233" s="32">
        <f t="shared" ref="AF233:AJ296" si="17">I233/U233</f>
        <v>6.8748255144731501E-5</v>
      </c>
      <c r="AG233" s="32">
        <f t="shared" si="17"/>
        <v>1.4244300625219615E-4</v>
      </c>
      <c r="AH233" s="32">
        <f t="shared" si="17"/>
        <v>3.3836363144316674E-4</v>
      </c>
      <c r="AI233" s="32">
        <f t="shared" si="17"/>
        <v>1.3483363235128442E-3</v>
      </c>
      <c r="AJ233" s="32">
        <f t="shared" si="17"/>
        <v>5.1769700842599605E-3</v>
      </c>
      <c r="AK233" s="33">
        <f t="shared" si="16"/>
        <v>2.8674538952270856E-4</v>
      </c>
    </row>
    <row r="234" spans="1:37" x14ac:dyDescent="0.3">
      <c r="A234" t="s">
        <v>64</v>
      </c>
      <c r="B234" s="1">
        <v>2015</v>
      </c>
      <c r="C234" s="1" t="str">
        <f t="shared" si="15"/>
        <v>Missouri, 2015</v>
      </c>
      <c r="D234" s="27">
        <v>106</v>
      </c>
      <c r="E234" s="27">
        <v>61</v>
      </c>
      <c r="F234" s="27">
        <v>55</v>
      </c>
      <c r="G234" s="27">
        <v>55</v>
      </c>
      <c r="H234" s="27">
        <v>75</v>
      </c>
      <c r="I234" s="27">
        <v>62</v>
      </c>
      <c r="J234" s="27">
        <v>77</v>
      </c>
      <c r="K234" s="27">
        <v>159</v>
      </c>
      <c r="L234" s="27">
        <v>327</v>
      </c>
      <c r="M234" s="27">
        <v>663</v>
      </c>
      <c r="N234" s="27">
        <v>42</v>
      </c>
      <c r="O234" s="28">
        <v>1682</v>
      </c>
      <c r="P234" s="29">
        <v>348306.43099999998</v>
      </c>
      <c r="Q234" s="30">
        <v>723348.17700000003</v>
      </c>
      <c r="R234" s="30">
        <v>764143.40799999982</v>
      </c>
      <c r="S234" s="30">
        <v>743486.56199999969</v>
      </c>
      <c r="T234" s="30">
        <v>683525.54399999988</v>
      </c>
      <c r="U234" s="30">
        <v>776443.76399999997</v>
      </c>
      <c r="V234" s="30">
        <v>718901.52200000023</v>
      </c>
      <c r="W234" s="30">
        <v>458296.37699999998</v>
      </c>
      <c r="X234" s="30">
        <v>255220.39300000001</v>
      </c>
      <c r="Y234" s="30">
        <v>109849.77900000004</v>
      </c>
      <c r="Z234" s="31">
        <v>5580638</v>
      </c>
      <c r="AA234" s="32">
        <f t="shared" ref="AA234:AE297" si="18">D234/P234</f>
        <v>3.0432972396079593E-4</v>
      </c>
      <c r="AB234" s="32">
        <f t="shared" si="18"/>
        <v>8.4330066681014105E-5</v>
      </c>
      <c r="AC234" s="32">
        <f t="shared" si="18"/>
        <v>7.1976018407267359E-5</v>
      </c>
      <c r="AD234" s="32">
        <f t="shared" si="18"/>
        <v>7.3975782228058649E-5</v>
      </c>
      <c r="AE234" s="32">
        <f t="shared" si="18"/>
        <v>1.0972523361906723E-4</v>
      </c>
      <c r="AF234" s="32">
        <f t="shared" si="17"/>
        <v>7.9851243418576804E-5</v>
      </c>
      <c r="AG234" s="32">
        <f t="shared" si="17"/>
        <v>1.0710785503108168E-4</v>
      </c>
      <c r="AH234" s="32">
        <f t="shared" si="17"/>
        <v>3.4693706513852718E-4</v>
      </c>
      <c r="AI234" s="32">
        <f t="shared" si="17"/>
        <v>1.2812455782089483E-3</v>
      </c>
      <c r="AJ234" s="32">
        <f t="shared" si="17"/>
        <v>6.0355151010362956E-3</v>
      </c>
      <c r="AK234" s="33">
        <f t="shared" si="16"/>
        <v>3.0139923069727871E-4</v>
      </c>
    </row>
    <row r="235" spans="1:37" x14ac:dyDescent="0.3">
      <c r="A235" t="s">
        <v>64</v>
      </c>
      <c r="B235" s="1">
        <v>2016</v>
      </c>
      <c r="C235" s="1" t="str">
        <f t="shared" si="15"/>
        <v>Missouri, 2016</v>
      </c>
      <c r="D235" s="27">
        <v>87</v>
      </c>
      <c r="E235" s="27">
        <v>47</v>
      </c>
      <c r="F235" s="27">
        <v>67</v>
      </c>
      <c r="G235" s="27">
        <v>60</v>
      </c>
      <c r="H235" s="27">
        <v>56</v>
      </c>
      <c r="I235" s="27">
        <v>52</v>
      </c>
      <c r="J235" s="27">
        <v>94</v>
      </c>
      <c r="K235" s="27">
        <v>172</v>
      </c>
      <c r="L235" s="27">
        <v>292</v>
      </c>
      <c r="M235" s="27">
        <v>492</v>
      </c>
      <c r="N235" s="27">
        <v>31</v>
      </c>
      <c r="O235" s="28">
        <v>1450</v>
      </c>
      <c r="P235" s="29">
        <v>355186.09200000006</v>
      </c>
      <c r="Q235" s="30">
        <v>742857.56300000008</v>
      </c>
      <c r="R235" s="30">
        <v>791750.89100000006</v>
      </c>
      <c r="S235" s="30">
        <v>767637.95999999985</v>
      </c>
      <c r="T235" s="30">
        <v>701315.81099999987</v>
      </c>
      <c r="U235" s="30">
        <v>783179.76599999995</v>
      </c>
      <c r="V235" s="30">
        <v>755980.7629999998</v>
      </c>
      <c r="W235" s="30">
        <v>496433.54799999995</v>
      </c>
      <c r="X235" s="30">
        <v>267149.43699999998</v>
      </c>
      <c r="Y235" s="30">
        <v>114398.16899999998</v>
      </c>
      <c r="Z235" s="31">
        <v>5775976</v>
      </c>
      <c r="AA235" s="32">
        <f t="shared" si="18"/>
        <v>2.4494202323665305E-4</v>
      </c>
      <c r="AB235" s="32">
        <f t="shared" si="18"/>
        <v>6.3269194985634132E-5</v>
      </c>
      <c r="AC235" s="32">
        <f t="shared" si="18"/>
        <v>8.4622576067299932E-5</v>
      </c>
      <c r="AD235" s="32">
        <f t="shared" si="18"/>
        <v>7.8161845982707795E-5</v>
      </c>
      <c r="AE235" s="32">
        <f t="shared" si="18"/>
        <v>7.9849903740441993E-5</v>
      </c>
      <c r="AF235" s="32">
        <f t="shared" si="17"/>
        <v>6.6395995220336172E-5</v>
      </c>
      <c r="AG235" s="32">
        <f t="shared" si="17"/>
        <v>1.2434178831082244E-4</v>
      </c>
      <c r="AH235" s="32">
        <f t="shared" si="17"/>
        <v>3.4647134685587366E-4</v>
      </c>
      <c r="AI235" s="32">
        <f t="shared" si="17"/>
        <v>1.0930212067038719E-3</v>
      </c>
      <c r="AJ235" s="32">
        <f t="shared" si="17"/>
        <v>4.3007681355459468E-3</v>
      </c>
      <c r="AK235" s="33">
        <f t="shared" si="16"/>
        <v>2.5103982426519776E-4</v>
      </c>
    </row>
    <row r="236" spans="1:37" x14ac:dyDescent="0.3">
      <c r="A236" t="s">
        <v>64</v>
      </c>
      <c r="B236" s="1">
        <v>2017</v>
      </c>
      <c r="C236" s="1" t="str">
        <f t="shared" si="15"/>
        <v>Missouri, 2017</v>
      </c>
      <c r="D236" s="27">
        <v>114</v>
      </c>
      <c r="E236" s="27">
        <v>43</v>
      </c>
      <c r="F236" s="27">
        <v>50</v>
      </c>
      <c r="G236" s="27">
        <v>53</v>
      </c>
      <c r="H236" s="27">
        <v>47</v>
      </c>
      <c r="I236" s="27">
        <v>46</v>
      </c>
      <c r="J236" s="27">
        <v>68</v>
      </c>
      <c r="K236" s="27">
        <v>172</v>
      </c>
      <c r="L236" s="27">
        <v>365</v>
      </c>
      <c r="M236" s="27">
        <v>566</v>
      </c>
      <c r="N236" s="27">
        <v>54</v>
      </c>
      <c r="O236" s="28">
        <v>1578</v>
      </c>
      <c r="P236" s="29">
        <v>343700</v>
      </c>
      <c r="Q236" s="30">
        <v>711715</v>
      </c>
      <c r="R236" s="30">
        <v>764571</v>
      </c>
      <c r="S236" s="30">
        <v>751062</v>
      </c>
      <c r="T236" s="30">
        <v>675373</v>
      </c>
      <c r="U236" s="30">
        <v>736553</v>
      </c>
      <c r="V236" s="30">
        <v>729665</v>
      </c>
      <c r="W236" s="30">
        <v>486501</v>
      </c>
      <c r="X236" s="30">
        <v>256998</v>
      </c>
      <c r="Y236" s="30">
        <v>109957</v>
      </c>
      <c r="Z236" s="31">
        <v>5566095</v>
      </c>
      <c r="AA236" s="32">
        <f t="shared" si="18"/>
        <v>3.3168460867035203E-4</v>
      </c>
      <c r="AB236" s="32">
        <f t="shared" si="18"/>
        <v>6.0417442375108016E-5</v>
      </c>
      <c r="AC236" s="32">
        <f t="shared" si="18"/>
        <v>6.5396150259426533E-5</v>
      </c>
      <c r="AD236" s="32">
        <f t="shared" si="18"/>
        <v>7.0566744156940443E-5</v>
      </c>
      <c r="AE236" s="32">
        <f t="shared" si="18"/>
        <v>6.9591174062332966E-5</v>
      </c>
      <c r="AF236" s="32">
        <f t="shared" si="17"/>
        <v>6.245307533877399E-5</v>
      </c>
      <c r="AG236" s="32">
        <f t="shared" si="17"/>
        <v>9.3193451789519845E-5</v>
      </c>
      <c r="AH236" s="32">
        <f t="shared" si="17"/>
        <v>3.5354500812947971E-4</v>
      </c>
      <c r="AI236" s="32">
        <f t="shared" si="17"/>
        <v>1.4202445155215215E-3</v>
      </c>
      <c r="AJ236" s="32">
        <f t="shared" si="17"/>
        <v>5.1474667369971897E-3</v>
      </c>
      <c r="AK236" s="33">
        <f t="shared" si="16"/>
        <v>2.8350216803701696E-4</v>
      </c>
    </row>
    <row r="237" spans="1:37" x14ac:dyDescent="0.3">
      <c r="A237" t="s">
        <v>65</v>
      </c>
      <c r="B237" s="1">
        <v>2009</v>
      </c>
      <c r="C237" s="1" t="str">
        <f t="shared" si="15"/>
        <v>Montana, 2009</v>
      </c>
      <c r="D237" s="27">
        <v>123</v>
      </c>
      <c r="E237" s="27">
        <v>49</v>
      </c>
      <c r="F237" s="27">
        <v>60</v>
      </c>
      <c r="G237" s="27">
        <v>38</v>
      </c>
      <c r="H237" s="27">
        <v>54</v>
      </c>
      <c r="I237" s="27">
        <v>70</v>
      </c>
      <c r="J237" s="27">
        <v>42</v>
      </c>
      <c r="K237" s="27">
        <v>40</v>
      </c>
      <c r="L237" s="27">
        <v>52</v>
      </c>
      <c r="M237" s="27">
        <v>73</v>
      </c>
      <c r="N237" s="27">
        <v>52</v>
      </c>
      <c r="O237" s="28">
        <v>653</v>
      </c>
      <c r="P237" s="29">
        <v>58474.987000000023</v>
      </c>
      <c r="Q237" s="30">
        <v>116668.70400000006</v>
      </c>
      <c r="R237" s="30">
        <v>142895.73000000001</v>
      </c>
      <c r="S237" s="30">
        <v>110958.31000000003</v>
      </c>
      <c r="T237" s="30">
        <v>114921.76400000002</v>
      </c>
      <c r="U237" s="30">
        <v>146303.829</v>
      </c>
      <c r="V237" s="30">
        <v>116524.79000000001</v>
      </c>
      <c r="W237" s="30">
        <v>67969.761000000013</v>
      </c>
      <c r="X237" s="30">
        <v>45930.739000000001</v>
      </c>
      <c r="Y237" s="30">
        <v>17783.140999999996</v>
      </c>
      <c r="Z237" s="31">
        <v>937916</v>
      </c>
      <c r="AA237" s="32">
        <f t="shared" si="18"/>
        <v>2.1034634860200986E-3</v>
      </c>
      <c r="AB237" s="32">
        <f t="shared" si="18"/>
        <v>4.1999266572807716E-4</v>
      </c>
      <c r="AC237" s="32">
        <f t="shared" si="18"/>
        <v>4.1988658443467834E-4</v>
      </c>
      <c r="AD237" s="32">
        <f t="shared" si="18"/>
        <v>3.4247096950196872E-4</v>
      </c>
      <c r="AE237" s="32">
        <f t="shared" si="18"/>
        <v>4.6988488620832504E-4</v>
      </c>
      <c r="AF237" s="32">
        <f t="shared" si="17"/>
        <v>4.7845637724218415E-4</v>
      </c>
      <c r="AG237" s="32">
        <f t="shared" si="17"/>
        <v>3.6043832389657171E-4</v>
      </c>
      <c r="AH237" s="32">
        <f t="shared" si="17"/>
        <v>5.8849699353805281E-4</v>
      </c>
      <c r="AI237" s="32">
        <f t="shared" si="17"/>
        <v>1.1321394153923803E-3</v>
      </c>
      <c r="AJ237" s="32">
        <f t="shared" si="17"/>
        <v>4.1050115949707658E-3</v>
      </c>
      <c r="AK237" s="33">
        <f t="shared" si="16"/>
        <v>6.9622439536163152E-4</v>
      </c>
    </row>
    <row r="238" spans="1:37" x14ac:dyDescent="0.3">
      <c r="A238" t="s">
        <v>65</v>
      </c>
      <c r="B238" s="1">
        <v>2010</v>
      </c>
      <c r="C238" s="1" t="str">
        <f t="shared" si="15"/>
        <v>Montana, 2010</v>
      </c>
      <c r="D238" s="27">
        <v>94</v>
      </c>
      <c r="E238" s="27">
        <v>69</v>
      </c>
      <c r="F238" s="27">
        <v>46</v>
      </c>
      <c r="G238" s="27">
        <v>52</v>
      </c>
      <c r="H238" s="27">
        <v>51</v>
      </c>
      <c r="I238" s="27">
        <v>36</v>
      </c>
      <c r="J238" s="27">
        <v>53</v>
      </c>
      <c r="K238" s="27">
        <v>45</v>
      </c>
      <c r="L238" s="27">
        <v>50</v>
      </c>
      <c r="M238" s="27">
        <v>92</v>
      </c>
      <c r="N238" s="27">
        <v>64</v>
      </c>
      <c r="O238" s="28">
        <v>652</v>
      </c>
      <c r="P238" s="29">
        <v>57620.566999999995</v>
      </c>
      <c r="Q238" s="30">
        <v>117520.73600000002</v>
      </c>
      <c r="R238" s="30">
        <v>133208.17300000004</v>
      </c>
      <c r="S238" s="30">
        <v>111918.81100000002</v>
      </c>
      <c r="T238" s="30">
        <v>113007.58199999997</v>
      </c>
      <c r="U238" s="30">
        <v>146682.57399999999</v>
      </c>
      <c r="V238" s="30">
        <v>124051.33700000006</v>
      </c>
      <c r="W238" s="30">
        <v>71833.939999999988</v>
      </c>
      <c r="X238" s="30">
        <v>45056.373000000007</v>
      </c>
      <c r="Y238" s="30">
        <v>17196.359000000004</v>
      </c>
      <c r="Z238" s="31">
        <v>937821</v>
      </c>
      <c r="AA238" s="32">
        <f t="shared" si="18"/>
        <v>1.6313619406070753E-3</v>
      </c>
      <c r="AB238" s="32">
        <f t="shared" si="18"/>
        <v>5.8713042777403977E-4</v>
      </c>
      <c r="AC238" s="32">
        <f t="shared" si="18"/>
        <v>3.4532415664915685E-4</v>
      </c>
      <c r="AD238" s="32">
        <f t="shared" si="18"/>
        <v>4.6462251998013088E-4</v>
      </c>
      <c r="AE238" s="32">
        <f t="shared" si="18"/>
        <v>4.5129715278750072E-4</v>
      </c>
      <c r="AF238" s="32">
        <f t="shared" si="17"/>
        <v>2.4542792656474653E-4</v>
      </c>
      <c r="AG238" s="32">
        <f t="shared" si="17"/>
        <v>4.2724247300937981E-4</v>
      </c>
      <c r="AH238" s="32">
        <f t="shared" si="17"/>
        <v>6.2644482538476952E-4</v>
      </c>
      <c r="AI238" s="32">
        <f t="shared" si="17"/>
        <v>1.1097209267155168E-3</v>
      </c>
      <c r="AJ238" s="32">
        <f t="shared" si="17"/>
        <v>5.3499697232419945E-3</v>
      </c>
      <c r="AK238" s="33">
        <f t="shared" si="16"/>
        <v>6.9522862038704609E-4</v>
      </c>
    </row>
    <row r="239" spans="1:37" x14ac:dyDescent="0.3">
      <c r="A239" t="s">
        <v>65</v>
      </c>
      <c r="B239" s="1">
        <v>2011</v>
      </c>
      <c r="C239" s="1" t="str">
        <f t="shared" si="15"/>
        <v>Montana, 2011</v>
      </c>
      <c r="D239" s="27">
        <v>120</v>
      </c>
      <c r="E239" s="27">
        <v>54</v>
      </c>
      <c r="F239" s="27">
        <v>51</v>
      </c>
      <c r="G239" s="27">
        <v>56</v>
      </c>
      <c r="H239" s="27">
        <v>58</v>
      </c>
      <c r="I239" s="27">
        <v>51</v>
      </c>
      <c r="J239" s="27">
        <v>53</v>
      </c>
      <c r="K239" s="27">
        <v>54</v>
      </c>
      <c r="L239" s="27">
        <v>57</v>
      </c>
      <c r="M239" s="27">
        <v>82</v>
      </c>
      <c r="N239" s="27">
        <v>39</v>
      </c>
      <c r="O239" s="28">
        <v>675</v>
      </c>
      <c r="P239" s="29">
        <v>56797.849999999991</v>
      </c>
      <c r="Q239" s="30">
        <v>113910.11799999999</v>
      </c>
      <c r="R239" s="30">
        <v>127899.15099999997</v>
      </c>
      <c r="S239" s="30">
        <v>113726.39599999999</v>
      </c>
      <c r="T239" s="30">
        <v>108479.72799999999</v>
      </c>
      <c r="U239" s="30">
        <v>140239.08600000004</v>
      </c>
      <c r="V239" s="30">
        <v>125133.00100000002</v>
      </c>
      <c r="W239" s="30">
        <v>72678.353999999992</v>
      </c>
      <c r="X239" s="30">
        <v>43909.275000000009</v>
      </c>
      <c r="Y239" s="30">
        <v>17960.385999999999</v>
      </c>
      <c r="Z239" s="31">
        <v>921083</v>
      </c>
      <c r="AA239" s="32">
        <f t="shared" si="18"/>
        <v>2.1127560286172808E-3</v>
      </c>
      <c r="AB239" s="32">
        <f t="shared" si="18"/>
        <v>4.7405797613167257E-4</v>
      </c>
      <c r="AC239" s="32">
        <f t="shared" si="18"/>
        <v>3.9875166958692332E-4</v>
      </c>
      <c r="AD239" s="32">
        <f t="shared" si="18"/>
        <v>4.9240987114372288E-4</v>
      </c>
      <c r="AE239" s="32">
        <f t="shared" si="18"/>
        <v>5.3466210755985673E-4</v>
      </c>
      <c r="AF239" s="32">
        <f t="shared" si="17"/>
        <v>3.6366466335925769E-4</v>
      </c>
      <c r="AG239" s="32">
        <f t="shared" si="17"/>
        <v>4.2354934011372419E-4</v>
      </c>
      <c r="AH239" s="32">
        <f t="shared" si="17"/>
        <v>7.4299976578996285E-4</v>
      </c>
      <c r="AI239" s="32">
        <f t="shared" si="17"/>
        <v>1.2981312034871901E-3</v>
      </c>
      <c r="AJ239" s="32">
        <f t="shared" si="17"/>
        <v>4.5656034341355475E-3</v>
      </c>
      <c r="AK239" s="33">
        <f t="shared" si="16"/>
        <v>7.3283298030687788E-4</v>
      </c>
    </row>
    <row r="240" spans="1:37" x14ac:dyDescent="0.3">
      <c r="A240" t="s">
        <v>65</v>
      </c>
      <c r="B240" s="1">
        <v>2012</v>
      </c>
      <c r="C240" s="1" t="str">
        <f t="shared" si="15"/>
        <v>Montana, 2012</v>
      </c>
      <c r="D240" s="27">
        <v>113</v>
      </c>
      <c r="E240" s="27">
        <v>69</v>
      </c>
      <c r="F240" s="27">
        <v>44</v>
      </c>
      <c r="G240" s="27">
        <v>75</v>
      </c>
      <c r="H240" s="27">
        <v>63</v>
      </c>
      <c r="I240" s="27">
        <v>37</v>
      </c>
      <c r="J240" s="27">
        <v>48</v>
      </c>
      <c r="K240" s="27">
        <v>35</v>
      </c>
      <c r="L240" s="27">
        <v>61</v>
      </c>
      <c r="M240" s="27">
        <v>95</v>
      </c>
      <c r="N240" s="27">
        <v>44</v>
      </c>
      <c r="O240" s="28">
        <v>684</v>
      </c>
      <c r="P240" s="29">
        <v>55025.06299999998</v>
      </c>
      <c r="Q240" s="30">
        <v>112331.05600000001</v>
      </c>
      <c r="R240" s="30">
        <v>124879.48099999999</v>
      </c>
      <c r="S240" s="30">
        <v>113293.74000000003</v>
      </c>
      <c r="T240" s="30">
        <v>106213.52299999997</v>
      </c>
      <c r="U240" s="30">
        <v>136497.76</v>
      </c>
      <c r="V240" s="30">
        <v>129428.51100000003</v>
      </c>
      <c r="W240" s="30">
        <v>76028.748000000007</v>
      </c>
      <c r="X240" s="30">
        <v>44010.173000000003</v>
      </c>
      <c r="Y240" s="30">
        <v>18449.290999999997</v>
      </c>
      <c r="Z240" s="31">
        <v>915978</v>
      </c>
      <c r="AA240" s="32">
        <f t="shared" si="18"/>
        <v>2.0536096433001819E-3</v>
      </c>
      <c r="AB240" s="32">
        <f t="shared" si="18"/>
        <v>6.1425577624766561E-4</v>
      </c>
      <c r="AC240" s="32">
        <f t="shared" si="18"/>
        <v>3.5233970903514572E-4</v>
      </c>
      <c r="AD240" s="32">
        <f t="shared" si="18"/>
        <v>6.6199597612365854E-4</v>
      </c>
      <c r="AE240" s="32">
        <f t="shared" si="18"/>
        <v>5.9314481076011398E-4</v>
      </c>
      <c r="AF240" s="32">
        <f t="shared" si="17"/>
        <v>2.7106671933663966E-4</v>
      </c>
      <c r="AG240" s="32">
        <f t="shared" si="17"/>
        <v>3.7086110030269909E-4</v>
      </c>
      <c r="AH240" s="32">
        <f t="shared" si="17"/>
        <v>4.6035218151954833E-4</v>
      </c>
      <c r="AI240" s="32">
        <f t="shared" si="17"/>
        <v>1.3860431768809452E-3</v>
      </c>
      <c r="AJ240" s="32">
        <f t="shared" si="17"/>
        <v>5.1492493668184869E-3</v>
      </c>
      <c r="AK240" s="33">
        <f t="shared" si="16"/>
        <v>7.4674282570105397E-4</v>
      </c>
    </row>
    <row r="241" spans="1:37" x14ac:dyDescent="0.3">
      <c r="A241" t="s">
        <v>65</v>
      </c>
      <c r="B241" s="1">
        <v>2013</v>
      </c>
      <c r="C241" s="1" t="str">
        <f t="shared" si="15"/>
        <v>Montana, 2013</v>
      </c>
      <c r="D241" s="27">
        <v>123</v>
      </c>
      <c r="E241" s="27">
        <v>52</v>
      </c>
      <c r="F241" s="27">
        <v>51</v>
      </c>
      <c r="G241" s="27">
        <v>36</v>
      </c>
      <c r="H241" s="27">
        <v>80</v>
      </c>
      <c r="I241" s="27">
        <v>47</v>
      </c>
      <c r="J241" s="27">
        <v>51</v>
      </c>
      <c r="K241" s="27">
        <v>48</v>
      </c>
      <c r="L241" s="27">
        <v>78</v>
      </c>
      <c r="M241" s="27">
        <v>95</v>
      </c>
      <c r="N241" s="27">
        <v>54</v>
      </c>
      <c r="O241" s="28">
        <v>715</v>
      </c>
      <c r="P241" s="29">
        <v>54542.98599999999</v>
      </c>
      <c r="Q241" s="30">
        <v>111018.69100000002</v>
      </c>
      <c r="R241" s="30">
        <v>122974.51500000001</v>
      </c>
      <c r="S241" s="30">
        <v>113254.325</v>
      </c>
      <c r="T241" s="30">
        <v>102384.29200000002</v>
      </c>
      <c r="U241" s="30">
        <v>127868.97600000002</v>
      </c>
      <c r="V241" s="30">
        <v>125955.01299999998</v>
      </c>
      <c r="W241" s="30">
        <v>74376.161999999997</v>
      </c>
      <c r="X241" s="30">
        <v>41665.68</v>
      </c>
      <c r="Y241" s="30">
        <v>17789.552</v>
      </c>
      <c r="Z241" s="31">
        <v>891498</v>
      </c>
      <c r="AA241" s="32">
        <f t="shared" si="18"/>
        <v>2.255102058402157E-3</v>
      </c>
      <c r="AB241" s="32">
        <f t="shared" si="18"/>
        <v>4.6838959756785451E-4</v>
      </c>
      <c r="AC241" s="32">
        <f t="shared" si="18"/>
        <v>4.1472007431783724E-4</v>
      </c>
      <c r="AD241" s="32">
        <f t="shared" si="18"/>
        <v>3.1786865534715785E-4</v>
      </c>
      <c r="AE241" s="32">
        <f t="shared" si="18"/>
        <v>7.8136986091577397E-4</v>
      </c>
      <c r="AF241" s="32">
        <f t="shared" si="17"/>
        <v>3.6756374744097419E-4</v>
      </c>
      <c r="AG241" s="32">
        <f t="shared" si="17"/>
        <v>4.049064724402832E-4</v>
      </c>
      <c r="AH241" s="32">
        <f t="shared" si="17"/>
        <v>6.4536806833350726E-4</v>
      </c>
      <c r="AI241" s="32">
        <f t="shared" si="17"/>
        <v>1.8720443300097346E-3</v>
      </c>
      <c r="AJ241" s="32">
        <f t="shared" si="17"/>
        <v>5.3402131768129964E-3</v>
      </c>
      <c r="AK241" s="33">
        <f t="shared" si="16"/>
        <v>8.0202086824647956E-4</v>
      </c>
    </row>
    <row r="242" spans="1:37" x14ac:dyDescent="0.3">
      <c r="A242" t="s">
        <v>65</v>
      </c>
      <c r="B242" s="1">
        <v>2014</v>
      </c>
      <c r="C242" s="1" t="str">
        <f t="shared" si="15"/>
        <v>Montana, 2014</v>
      </c>
      <c r="D242" s="27">
        <v>107</v>
      </c>
      <c r="E242" s="27">
        <v>46</v>
      </c>
      <c r="F242" s="27">
        <v>38</v>
      </c>
      <c r="G242" s="27">
        <v>61</v>
      </c>
      <c r="H242" s="27">
        <v>51</v>
      </c>
      <c r="I242" s="27">
        <v>48</v>
      </c>
      <c r="J242" s="27">
        <v>45</v>
      </c>
      <c r="K242" s="27">
        <v>65</v>
      </c>
      <c r="L242" s="27">
        <v>41</v>
      </c>
      <c r="M242" s="27">
        <v>96</v>
      </c>
      <c r="N242" s="27">
        <v>52</v>
      </c>
      <c r="O242" s="28">
        <v>650</v>
      </c>
      <c r="P242" s="29">
        <v>54406.911999999989</v>
      </c>
      <c r="Q242" s="30">
        <v>110017.348</v>
      </c>
      <c r="R242" s="30">
        <v>121790.64199999998</v>
      </c>
      <c r="S242" s="30">
        <v>114020.77</v>
      </c>
      <c r="T242" s="30">
        <v>101236.204</v>
      </c>
      <c r="U242" s="30">
        <v>122089.16600000003</v>
      </c>
      <c r="V242" s="30">
        <v>126472.655</v>
      </c>
      <c r="W242" s="30">
        <v>76971.707000000009</v>
      </c>
      <c r="X242" s="30">
        <v>41412.582000000002</v>
      </c>
      <c r="Y242" s="30">
        <v>17720.54</v>
      </c>
      <c r="Z242" s="31">
        <v>886117</v>
      </c>
      <c r="AA242" s="32">
        <f t="shared" si="18"/>
        <v>1.9666618829607537E-3</v>
      </c>
      <c r="AB242" s="32">
        <f t="shared" si="18"/>
        <v>4.1811587750688193E-4</v>
      </c>
      <c r="AC242" s="32">
        <f t="shared" si="18"/>
        <v>3.1201083577505083E-4</v>
      </c>
      <c r="AD242" s="32">
        <f t="shared" si="18"/>
        <v>5.3499024782940863E-4</v>
      </c>
      <c r="AE242" s="32">
        <f t="shared" si="18"/>
        <v>5.0377234610653719E-4</v>
      </c>
      <c r="AF242" s="32">
        <f t="shared" si="17"/>
        <v>3.9315527800394664E-4</v>
      </c>
      <c r="AG242" s="32">
        <f t="shared" si="17"/>
        <v>3.5580813892141348E-4</v>
      </c>
      <c r="AH242" s="32">
        <f t="shared" si="17"/>
        <v>8.4446613610894702E-4</v>
      </c>
      <c r="AI242" s="32">
        <f t="shared" si="17"/>
        <v>9.9003727900858732E-4</v>
      </c>
      <c r="AJ242" s="32">
        <f t="shared" si="17"/>
        <v>5.4174421321246417E-3</v>
      </c>
      <c r="AK242" s="33">
        <f t="shared" si="16"/>
        <v>7.3353744482952026E-4</v>
      </c>
    </row>
    <row r="243" spans="1:37" x14ac:dyDescent="0.3">
      <c r="A243" t="s">
        <v>65</v>
      </c>
      <c r="B243" s="1">
        <v>2015</v>
      </c>
      <c r="C243" s="1" t="str">
        <f t="shared" si="15"/>
        <v>Montana, 2015</v>
      </c>
      <c r="D243" s="27">
        <v>94</v>
      </c>
      <c r="E243" s="27">
        <v>52</v>
      </c>
      <c r="F243" s="27">
        <v>40</v>
      </c>
      <c r="G243" s="27">
        <v>62</v>
      </c>
      <c r="H243" s="27">
        <v>48</v>
      </c>
      <c r="I243" s="27">
        <v>57</v>
      </c>
      <c r="J243" s="27">
        <v>51</v>
      </c>
      <c r="K243" s="27">
        <v>59</v>
      </c>
      <c r="L243" s="27">
        <v>55</v>
      </c>
      <c r="M243" s="27">
        <v>79</v>
      </c>
      <c r="N243" s="27">
        <v>60</v>
      </c>
      <c r="O243" s="28">
        <v>657</v>
      </c>
      <c r="P243" s="29">
        <v>55736.54300000002</v>
      </c>
      <c r="Q243" s="30">
        <v>115651.323</v>
      </c>
      <c r="R243" s="30">
        <v>128700.34400000004</v>
      </c>
      <c r="S243" s="30">
        <v>120619.29800000001</v>
      </c>
      <c r="T243" s="30">
        <v>107822.07299999999</v>
      </c>
      <c r="U243" s="30">
        <v>126546.57299999996</v>
      </c>
      <c r="V243" s="30">
        <v>137561.27599999995</v>
      </c>
      <c r="W243" s="30">
        <v>88507.891000000003</v>
      </c>
      <c r="X243" s="30">
        <v>46004.217000000019</v>
      </c>
      <c r="Y243" s="30">
        <v>20177.573000000004</v>
      </c>
      <c r="Z243" s="31">
        <v>947144</v>
      </c>
      <c r="AA243" s="32">
        <f t="shared" si="18"/>
        <v>1.6865057454316815E-3</v>
      </c>
      <c r="AB243" s="32">
        <f t="shared" si="18"/>
        <v>4.4962736829218979E-4</v>
      </c>
      <c r="AC243" s="32">
        <f t="shared" si="18"/>
        <v>3.1079948006976568E-4</v>
      </c>
      <c r="AD243" s="32">
        <f t="shared" si="18"/>
        <v>5.1401393498410176E-4</v>
      </c>
      <c r="AE243" s="32">
        <f t="shared" si="18"/>
        <v>4.4517786260703783E-4</v>
      </c>
      <c r="AF243" s="32">
        <f t="shared" si="17"/>
        <v>4.5042705344537474E-4</v>
      </c>
      <c r="AG243" s="32">
        <f t="shared" si="17"/>
        <v>3.7074387126214222E-4</v>
      </c>
      <c r="AH243" s="32">
        <f t="shared" si="17"/>
        <v>6.6660722940511594E-4</v>
      </c>
      <c r="AI243" s="32">
        <f t="shared" si="17"/>
        <v>1.1955425738470883E-3</v>
      </c>
      <c r="AJ243" s="32">
        <f t="shared" si="17"/>
        <v>3.915237972376558E-3</v>
      </c>
      <c r="AK243" s="33">
        <f t="shared" si="16"/>
        <v>6.9366432137035132E-4</v>
      </c>
    </row>
    <row r="244" spans="1:37" x14ac:dyDescent="0.3">
      <c r="A244" t="s">
        <v>65</v>
      </c>
      <c r="B244" s="1">
        <v>2016</v>
      </c>
      <c r="C244" s="1" t="str">
        <f t="shared" si="15"/>
        <v>Montana, 2016</v>
      </c>
      <c r="D244" s="27">
        <v>124</v>
      </c>
      <c r="E244" s="27">
        <v>59</v>
      </c>
      <c r="F244" s="27">
        <v>55</v>
      </c>
      <c r="G244" s="27">
        <v>51</v>
      </c>
      <c r="H244" s="27">
        <v>56</v>
      </c>
      <c r="I244" s="27">
        <v>47</v>
      </c>
      <c r="J244" s="27">
        <v>48</v>
      </c>
      <c r="K244" s="27">
        <v>57</v>
      </c>
      <c r="L244" s="27">
        <v>63</v>
      </c>
      <c r="M244" s="27">
        <v>50</v>
      </c>
      <c r="N244" s="27">
        <v>64</v>
      </c>
      <c r="O244" s="28">
        <v>674</v>
      </c>
      <c r="P244" s="29">
        <v>57115.169000000016</v>
      </c>
      <c r="Q244" s="30">
        <v>117573.38500000001</v>
      </c>
      <c r="R244" s="30">
        <v>127477.54300000003</v>
      </c>
      <c r="S244" s="30">
        <v>121627.92799999996</v>
      </c>
      <c r="T244" s="30">
        <v>108556.552</v>
      </c>
      <c r="U244" s="30">
        <v>121832.51599999999</v>
      </c>
      <c r="V244" s="30">
        <v>136105.20600000001</v>
      </c>
      <c r="W244" s="30">
        <v>90061.786999999997</v>
      </c>
      <c r="X244" s="30">
        <v>45954.523000000001</v>
      </c>
      <c r="Y244" s="30">
        <v>19351.794999999998</v>
      </c>
      <c r="Z244" s="31">
        <v>945864</v>
      </c>
      <c r="AA244" s="32">
        <f t="shared" si="18"/>
        <v>2.171051966947694E-3</v>
      </c>
      <c r="AB244" s="32">
        <f t="shared" si="18"/>
        <v>5.0181424988316869E-4</v>
      </c>
      <c r="AC244" s="32">
        <f t="shared" si="18"/>
        <v>4.3144854148938205E-4</v>
      </c>
      <c r="AD244" s="32">
        <f t="shared" si="18"/>
        <v>4.1931159100235611E-4</v>
      </c>
      <c r="AE244" s="32">
        <f t="shared" si="18"/>
        <v>5.1586015738598623E-4</v>
      </c>
      <c r="AF244" s="32">
        <f t="shared" si="17"/>
        <v>3.8577550183729279E-4</v>
      </c>
      <c r="AG244" s="32">
        <f t="shared" si="17"/>
        <v>3.5266836156142326E-4</v>
      </c>
      <c r="AH244" s="32">
        <f t="shared" si="17"/>
        <v>6.3289883421922333E-4</v>
      </c>
      <c r="AI244" s="32">
        <f t="shared" si="17"/>
        <v>1.3709205511718617E-3</v>
      </c>
      <c r="AJ244" s="32">
        <f t="shared" si="17"/>
        <v>2.5837396479241334E-3</v>
      </c>
      <c r="AK244" s="33">
        <f t="shared" si="16"/>
        <v>7.1257601515651301E-4</v>
      </c>
    </row>
    <row r="245" spans="1:37" x14ac:dyDescent="0.3">
      <c r="A245" t="s">
        <v>65</v>
      </c>
      <c r="B245" s="1">
        <v>2017</v>
      </c>
      <c r="C245" s="1" t="str">
        <f t="shared" si="15"/>
        <v>Montana, 2017</v>
      </c>
      <c r="D245" s="27">
        <v>94</v>
      </c>
      <c r="E245" s="27">
        <v>53</v>
      </c>
      <c r="F245" s="27">
        <v>62</v>
      </c>
      <c r="G245" s="27">
        <v>64</v>
      </c>
      <c r="H245" s="27">
        <v>39</v>
      </c>
      <c r="I245" s="27">
        <v>46</v>
      </c>
      <c r="J245" s="27">
        <v>68</v>
      </c>
      <c r="K245" s="27">
        <v>51</v>
      </c>
      <c r="L245" s="27">
        <v>49</v>
      </c>
      <c r="M245" s="27">
        <v>86</v>
      </c>
      <c r="N245" s="27">
        <v>48</v>
      </c>
      <c r="O245" s="28">
        <v>660</v>
      </c>
      <c r="P245" s="29">
        <v>49170</v>
      </c>
      <c r="Q245" s="30">
        <v>100422</v>
      </c>
      <c r="R245" s="30">
        <v>112017</v>
      </c>
      <c r="S245" s="30">
        <v>105884</v>
      </c>
      <c r="T245" s="30">
        <v>93512</v>
      </c>
      <c r="U245" s="30">
        <v>99012</v>
      </c>
      <c r="V245" s="30">
        <v>111907</v>
      </c>
      <c r="W245" s="30">
        <v>77499</v>
      </c>
      <c r="X245" s="30">
        <v>38730</v>
      </c>
      <c r="Y245" s="30">
        <v>16460</v>
      </c>
      <c r="Z245" s="31">
        <v>804613</v>
      </c>
      <c r="AA245" s="32">
        <f t="shared" si="18"/>
        <v>1.9117347976408379E-3</v>
      </c>
      <c r="AB245" s="32">
        <f t="shared" si="18"/>
        <v>5.2777279878910997E-4</v>
      </c>
      <c r="AC245" s="32">
        <f t="shared" si="18"/>
        <v>5.5348741708847766E-4</v>
      </c>
      <c r="AD245" s="32">
        <f t="shared" si="18"/>
        <v>6.0443504212156704E-4</v>
      </c>
      <c r="AE245" s="32">
        <f t="shared" si="18"/>
        <v>4.170587732055779E-4</v>
      </c>
      <c r="AF245" s="32">
        <f t="shared" si="17"/>
        <v>4.6459015068880542E-4</v>
      </c>
      <c r="AG245" s="32">
        <f t="shared" si="17"/>
        <v>6.0764742151965469E-4</v>
      </c>
      <c r="AH245" s="32">
        <f t="shared" si="17"/>
        <v>6.5807300739364376E-4</v>
      </c>
      <c r="AI245" s="32">
        <f t="shared" si="17"/>
        <v>1.2651691195455718E-3</v>
      </c>
      <c r="AJ245" s="32">
        <f t="shared" si="17"/>
        <v>5.2247873633049814E-3</v>
      </c>
      <c r="AK245" s="33">
        <f t="shared" si="16"/>
        <v>8.2027011743533848E-4</v>
      </c>
    </row>
    <row r="246" spans="1:37" x14ac:dyDescent="0.3">
      <c r="A246" t="s">
        <v>66</v>
      </c>
      <c r="B246" s="1">
        <v>2009</v>
      </c>
      <c r="C246" s="1" t="str">
        <f t="shared" si="15"/>
        <v>Nebraska, 2009</v>
      </c>
      <c r="D246" s="27">
        <v>130</v>
      </c>
      <c r="E246" s="27">
        <v>52</v>
      </c>
      <c r="F246" s="27">
        <v>30</v>
      </c>
      <c r="G246" s="27">
        <v>49</v>
      </c>
      <c r="H246" s="27">
        <v>61</v>
      </c>
      <c r="I246" s="27">
        <v>56</v>
      </c>
      <c r="J246" s="27">
        <v>53</v>
      </c>
      <c r="K246" s="27">
        <v>53</v>
      </c>
      <c r="L246" s="27">
        <v>51</v>
      </c>
      <c r="M246" s="27">
        <v>130</v>
      </c>
      <c r="N246" s="27">
        <v>66</v>
      </c>
      <c r="O246" s="28">
        <v>731</v>
      </c>
      <c r="P246" s="29">
        <v>128139.89600000001</v>
      </c>
      <c r="Q246" s="30">
        <v>233802.81200000006</v>
      </c>
      <c r="R246" s="30">
        <v>267002.28299999994</v>
      </c>
      <c r="S246" s="30">
        <v>220174.52500000008</v>
      </c>
      <c r="T246" s="30">
        <v>224407.55099999995</v>
      </c>
      <c r="U246" s="30">
        <v>248826.77600000004</v>
      </c>
      <c r="V246" s="30">
        <v>183385.802</v>
      </c>
      <c r="W246" s="30">
        <v>112195.69299999998</v>
      </c>
      <c r="X246" s="30">
        <v>83098.752999999982</v>
      </c>
      <c r="Y246" s="30">
        <v>36130.972999999984</v>
      </c>
      <c r="Z246" s="31">
        <v>1736643</v>
      </c>
      <c r="AA246" s="32">
        <f t="shared" si="18"/>
        <v>1.0145161972037187E-3</v>
      </c>
      <c r="AB246" s="32">
        <f t="shared" si="18"/>
        <v>2.2240964321678042E-4</v>
      </c>
      <c r="AC246" s="32">
        <f t="shared" si="18"/>
        <v>1.123585898327319E-4</v>
      </c>
      <c r="AD246" s="32">
        <f t="shared" si="18"/>
        <v>2.2255072424931985E-4</v>
      </c>
      <c r="AE246" s="32">
        <f t="shared" si="18"/>
        <v>2.7182686022895911E-4</v>
      </c>
      <c r="AF246" s="32">
        <f t="shared" si="17"/>
        <v>2.2505616517733601E-4</v>
      </c>
      <c r="AG246" s="32">
        <f t="shared" si="17"/>
        <v>2.8900819704679213E-4</v>
      </c>
      <c r="AH246" s="32">
        <f t="shared" si="17"/>
        <v>4.7238889999101841E-4</v>
      </c>
      <c r="AI246" s="32">
        <f t="shared" si="17"/>
        <v>6.1372762115936938E-4</v>
      </c>
      <c r="AJ246" s="32">
        <f t="shared" si="17"/>
        <v>3.5980210109481429E-3</v>
      </c>
      <c r="AK246" s="33">
        <f t="shared" si="16"/>
        <v>4.2092704142417293E-4</v>
      </c>
    </row>
    <row r="247" spans="1:37" x14ac:dyDescent="0.3">
      <c r="A247" t="s">
        <v>66</v>
      </c>
      <c r="B247" s="1">
        <v>2010</v>
      </c>
      <c r="C247" s="1" t="str">
        <f t="shared" si="15"/>
        <v>Nebraska, 2010</v>
      </c>
      <c r="D247" s="27">
        <v>120</v>
      </c>
      <c r="E247" s="27">
        <v>70</v>
      </c>
      <c r="F247" s="27">
        <v>61</v>
      </c>
      <c r="G247" s="27">
        <v>57</v>
      </c>
      <c r="H247" s="27">
        <v>54</v>
      </c>
      <c r="I247" s="27">
        <v>57</v>
      </c>
      <c r="J247" s="27">
        <v>44</v>
      </c>
      <c r="K247" s="27">
        <v>54</v>
      </c>
      <c r="L247" s="27">
        <v>55</v>
      </c>
      <c r="M247" s="27">
        <v>146</v>
      </c>
      <c r="N247" s="27">
        <v>40</v>
      </c>
      <c r="O247" s="28">
        <v>758</v>
      </c>
      <c r="P247" s="29">
        <v>125415.18400000001</v>
      </c>
      <c r="Q247" s="30">
        <v>237674.64499999996</v>
      </c>
      <c r="R247" s="30">
        <v>252716.16100000005</v>
      </c>
      <c r="S247" s="30">
        <v>228141.54300000001</v>
      </c>
      <c r="T247" s="30">
        <v>219175.57000000004</v>
      </c>
      <c r="U247" s="30">
        <v>249279.35700000005</v>
      </c>
      <c r="V247" s="30">
        <v>191964.59499999997</v>
      </c>
      <c r="W247" s="30">
        <v>113676.67200000005</v>
      </c>
      <c r="X247" s="30">
        <v>81790.537999999957</v>
      </c>
      <c r="Y247" s="30">
        <v>35585.753000000004</v>
      </c>
      <c r="Z247" s="31">
        <v>1735825</v>
      </c>
      <c r="AA247" s="32">
        <f t="shared" si="18"/>
        <v>9.5682194270830872E-4</v>
      </c>
      <c r="AB247" s="32">
        <f t="shared" si="18"/>
        <v>2.9452026740168271E-4</v>
      </c>
      <c r="AC247" s="32">
        <f t="shared" si="18"/>
        <v>2.4137751918445764E-4</v>
      </c>
      <c r="AD247" s="32">
        <f t="shared" si="18"/>
        <v>2.4984489563130549E-4</v>
      </c>
      <c r="AE247" s="32">
        <f t="shared" si="18"/>
        <v>2.4637782395182088E-4</v>
      </c>
      <c r="AF247" s="32">
        <f t="shared" si="17"/>
        <v>2.2865912639529148E-4</v>
      </c>
      <c r="AG247" s="32">
        <f t="shared" si="17"/>
        <v>2.2920893303267722E-4</v>
      </c>
      <c r="AH247" s="32">
        <f t="shared" si="17"/>
        <v>4.7503149986656871E-4</v>
      </c>
      <c r="AI247" s="32">
        <f t="shared" si="17"/>
        <v>6.7244942196125455E-4</v>
      </c>
      <c r="AJ247" s="32">
        <f t="shared" si="17"/>
        <v>4.1027655084325456E-3</v>
      </c>
      <c r="AK247" s="33">
        <f t="shared" si="16"/>
        <v>4.3667996485820861E-4</v>
      </c>
    </row>
    <row r="248" spans="1:37" x14ac:dyDescent="0.3">
      <c r="A248" t="s">
        <v>66</v>
      </c>
      <c r="B248" s="1">
        <v>2011</v>
      </c>
      <c r="C248" s="1" t="str">
        <f t="shared" si="15"/>
        <v>Nebraska, 2011</v>
      </c>
      <c r="D248" s="27">
        <v>102</v>
      </c>
      <c r="E248" s="27">
        <v>42</v>
      </c>
      <c r="F248" s="27">
        <v>29</v>
      </c>
      <c r="G248" s="27">
        <v>57</v>
      </c>
      <c r="H248" s="27">
        <v>75</v>
      </c>
      <c r="I248" s="27">
        <v>56</v>
      </c>
      <c r="J248" s="27">
        <v>43</v>
      </c>
      <c r="K248" s="27">
        <v>54</v>
      </c>
      <c r="L248" s="27">
        <v>68</v>
      </c>
      <c r="M248" s="27">
        <v>197</v>
      </c>
      <c r="N248" s="27">
        <v>62</v>
      </c>
      <c r="O248" s="28">
        <v>785</v>
      </c>
      <c r="P248" s="29">
        <v>124878.24000000006</v>
      </c>
      <c r="Q248" s="30">
        <v>237593.51699999993</v>
      </c>
      <c r="R248" s="30">
        <v>249982.70300000001</v>
      </c>
      <c r="S248" s="30">
        <v>231891.72899999999</v>
      </c>
      <c r="T248" s="30">
        <v>217147.133</v>
      </c>
      <c r="U248" s="30">
        <v>248168.38000000006</v>
      </c>
      <c r="V248" s="30">
        <v>199077.52999999994</v>
      </c>
      <c r="W248" s="30">
        <v>115290.56400000003</v>
      </c>
      <c r="X248" s="30">
        <v>80419.306000000011</v>
      </c>
      <c r="Y248" s="30">
        <v>35742.999000000011</v>
      </c>
      <c r="Z248" s="31">
        <v>1738457</v>
      </c>
      <c r="AA248" s="32">
        <f t="shared" si="18"/>
        <v>8.1679562428169995E-4</v>
      </c>
      <c r="AB248" s="32">
        <f t="shared" si="18"/>
        <v>1.7677250006783649E-4</v>
      </c>
      <c r="AC248" s="32">
        <f t="shared" si="18"/>
        <v>1.1600802636332802E-4</v>
      </c>
      <c r="AD248" s="32">
        <f t="shared" si="18"/>
        <v>2.4580436846887284E-4</v>
      </c>
      <c r="AE248" s="32">
        <f t="shared" si="18"/>
        <v>3.4538793565374866E-4</v>
      </c>
      <c r="AF248" s="32">
        <f t="shared" si="17"/>
        <v>2.2565324397894683E-4</v>
      </c>
      <c r="AG248" s="32">
        <f t="shared" si="17"/>
        <v>2.1599625030509478E-4</v>
      </c>
      <c r="AH248" s="32">
        <f t="shared" si="17"/>
        <v>4.6838178361240378E-4</v>
      </c>
      <c r="AI248" s="32">
        <f t="shared" si="17"/>
        <v>8.4556810276378153E-4</v>
      </c>
      <c r="AJ248" s="32">
        <f t="shared" si="17"/>
        <v>5.5115688529661418E-3</v>
      </c>
      <c r="AK248" s="33">
        <f t="shared" si="16"/>
        <v>4.5154985139120497E-4</v>
      </c>
    </row>
    <row r="249" spans="1:37" x14ac:dyDescent="0.3">
      <c r="A249" t="s">
        <v>66</v>
      </c>
      <c r="B249" s="1">
        <v>2012</v>
      </c>
      <c r="C249" s="1" t="str">
        <f t="shared" si="15"/>
        <v>Nebraska, 2012</v>
      </c>
      <c r="D249" s="27">
        <v>88</v>
      </c>
      <c r="E249" s="27">
        <v>65</v>
      </c>
      <c r="F249" s="27">
        <v>53</v>
      </c>
      <c r="G249" s="27">
        <v>50</v>
      </c>
      <c r="H249" s="27">
        <v>55</v>
      </c>
      <c r="I249" s="27">
        <v>54</v>
      </c>
      <c r="J249" s="27">
        <v>65</v>
      </c>
      <c r="K249" s="27">
        <v>53</v>
      </c>
      <c r="L249" s="27">
        <v>68</v>
      </c>
      <c r="M249" s="27">
        <v>160</v>
      </c>
      <c r="N249" s="27">
        <v>50</v>
      </c>
      <c r="O249" s="28">
        <v>761</v>
      </c>
      <c r="P249" s="29">
        <v>122344.74800000001</v>
      </c>
      <c r="Q249" s="30">
        <v>233953.71900000001</v>
      </c>
      <c r="R249" s="30">
        <v>245434.80200000003</v>
      </c>
      <c r="S249" s="30">
        <v>232066.69600000005</v>
      </c>
      <c r="T249" s="30">
        <v>209549.80799999993</v>
      </c>
      <c r="U249" s="30">
        <v>237537.90600000002</v>
      </c>
      <c r="V249" s="30">
        <v>198053.20099999991</v>
      </c>
      <c r="W249" s="30">
        <v>114726.49399999998</v>
      </c>
      <c r="X249" s="30">
        <v>76770.58600000001</v>
      </c>
      <c r="Y249" s="30">
        <v>34277.528000000006</v>
      </c>
      <c r="Z249" s="31">
        <v>1704734</v>
      </c>
      <c r="AA249" s="32">
        <f t="shared" si="18"/>
        <v>7.1927893463804421E-4</v>
      </c>
      <c r="AB249" s="32">
        <f t="shared" si="18"/>
        <v>2.7783272810465561E-4</v>
      </c>
      <c r="AC249" s="32">
        <f t="shared" si="18"/>
        <v>2.1594329560483438E-4</v>
      </c>
      <c r="AD249" s="32">
        <f t="shared" si="18"/>
        <v>2.154553016948196E-4</v>
      </c>
      <c r="AE249" s="32">
        <f t="shared" si="18"/>
        <v>2.6246743208659974E-4</v>
      </c>
      <c r="AF249" s="32">
        <f t="shared" si="17"/>
        <v>2.2733213788623697E-4</v>
      </c>
      <c r="AG249" s="32">
        <f t="shared" si="17"/>
        <v>3.2819464503378579E-4</v>
      </c>
      <c r="AH249" s="32">
        <f t="shared" si="17"/>
        <v>4.6196827038051045E-4</v>
      </c>
      <c r="AI249" s="32">
        <f t="shared" si="17"/>
        <v>8.8575590656556915E-4</v>
      </c>
      <c r="AJ249" s="32">
        <f t="shared" si="17"/>
        <v>4.6677811772190799E-3</v>
      </c>
      <c r="AK249" s="33">
        <f t="shared" si="16"/>
        <v>4.4640395510384611E-4</v>
      </c>
    </row>
    <row r="250" spans="1:37" x14ac:dyDescent="0.3">
      <c r="A250" t="s">
        <v>66</v>
      </c>
      <c r="B250" s="1">
        <v>2013</v>
      </c>
      <c r="C250" s="1" t="str">
        <f t="shared" si="15"/>
        <v>Nebraska, 2013</v>
      </c>
      <c r="D250" s="27">
        <v>105</v>
      </c>
      <c r="E250" s="27">
        <v>58</v>
      </c>
      <c r="F250" s="27">
        <v>52</v>
      </c>
      <c r="G250" s="27">
        <v>59</v>
      </c>
      <c r="H250" s="27">
        <v>58</v>
      </c>
      <c r="I250" s="27">
        <v>65</v>
      </c>
      <c r="J250" s="27">
        <v>38</v>
      </c>
      <c r="K250" s="27">
        <v>61</v>
      </c>
      <c r="L250" s="27">
        <v>79</v>
      </c>
      <c r="M250" s="27">
        <v>212</v>
      </c>
      <c r="N250" s="27">
        <v>55</v>
      </c>
      <c r="O250" s="28">
        <v>842</v>
      </c>
      <c r="P250" s="29">
        <v>122672.04599999999</v>
      </c>
      <c r="Q250" s="30">
        <v>238593.03599999999</v>
      </c>
      <c r="R250" s="30">
        <v>245439.65900000004</v>
      </c>
      <c r="S250" s="30">
        <v>236309.10599999994</v>
      </c>
      <c r="T250" s="30">
        <v>209661.19500000004</v>
      </c>
      <c r="U250" s="30">
        <v>236095.72299999994</v>
      </c>
      <c r="V250" s="30">
        <v>204773.701</v>
      </c>
      <c r="W250" s="30">
        <v>118983.88800000001</v>
      </c>
      <c r="X250" s="30">
        <v>76408.60100000001</v>
      </c>
      <c r="Y250" s="30">
        <v>35439.558000000012</v>
      </c>
      <c r="Z250" s="31">
        <v>1724249</v>
      </c>
      <c r="AA250" s="32">
        <f t="shared" si="18"/>
        <v>8.5594072507765961E-4</v>
      </c>
      <c r="AB250" s="32">
        <f t="shared" si="18"/>
        <v>2.4309175562022692E-4</v>
      </c>
      <c r="AC250" s="32">
        <f t="shared" si="18"/>
        <v>2.1186470113210184E-4</v>
      </c>
      <c r="AD250" s="32">
        <f t="shared" si="18"/>
        <v>2.4967298551753655E-4</v>
      </c>
      <c r="AE250" s="32">
        <f t="shared" si="18"/>
        <v>2.7663679013181238E-4</v>
      </c>
      <c r="AF250" s="32">
        <f t="shared" si="17"/>
        <v>2.7531206060856943E-4</v>
      </c>
      <c r="AG250" s="32">
        <f t="shared" si="17"/>
        <v>1.8557070470685101E-4</v>
      </c>
      <c r="AH250" s="32">
        <f t="shared" si="17"/>
        <v>5.1267445555317533E-4</v>
      </c>
      <c r="AI250" s="32">
        <f t="shared" si="17"/>
        <v>1.0339150169756412E-3</v>
      </c>
      <c r="AJ250" s="32">
        <f t="shared" si="17"/>
        <v>5.9820159156612485E-3</v>
      </c>
      <c r="AK250" s="33">
        <f t="shared" si="16"/>
        <v>4.8832854187533237E-4</v>
      </c>
    </row>
    <row r="251" spans="1:37" x14ac:dyDescent="0.3">
      <c r="A251" t="s">
        <v>66</v>
      </c>
      <c r="B251" s="1">
        <v>2014</v>
      </c>
      <c r="C251" s="1" t="str">
        <f t="shared" si="15"/>
        <v>Nebraska, 2014</v>
      </c>
      <c r="D251" s="27">
        <v>131</v>
      </c>
      <c r="E251" s="27">
        <v>46</v>
      </c>
      <c r="F251" s="27">
        <v>64</v>
      </c>
      <c r="G251" s="27">
        <v>72</v>
      </c>
      <c r="H251" s="27">
        <v>46</v>
      </c>
      <c r="I251" s="27">
        <v>52</v>
      </c>
      <c r="J251" s="27">
        <v>62</v>
      </c>
      <c r="K251" s="27">
        <v>45</v>
      </c>
      <c r="L251" s="27">
        <v>77</v>
      </c>
      <c r="M251" s="27">
        <v>170</v>
      </c>
      <c r="N251" s="27">
        <v>61</v>
      </c>
      <c r="O251" s="28">
        <v>826</v>
      </c>
      <c r="P251" s="29">
        <v>119009.57500000003</v>
      </c>
      <c r="Q251" s="30">
        <v>232491.49199999997</v>
      </c>
      <c r="R251" s="30">
        <v>233936.08199999991</v>
      </c>
      <c r="S251" s="30">
        <v>229962.79799999998</v>
      </c>
      <c r="T251" s="30">
        <v>202127.91499999995</v>
      </c>
      <c r="U251" s="30">
        <v>223908.02200000006</v>
      </c>
      <c r="V251" s="30">
        <v>201588.09</v>
      </c>
      <c r="W251" s="30">
        <v>117669.83599999997</v>
      </c>
      <c r="X251" s="30">
        <v>73800.323000000004</v>
      </c>
      <c r="Y251" s="30">
        <v>34677.897999999986</v>
      </c>
      <c r="Z251" s="31">
        <v>1666863</v>
      </c>
      <c r="AA251" s="32">
        <f t="shared" si="18"/>
        <v>1.1007517672422574E-3</v>
      </c>
      <c r="AB251" s="32">
        <f t="shared" si="18"/>
        <v>1.9785670264441335E-4</v>
      </c>
      <c r="AC251" s="32">
        <f t="shared" si="18"/>
        <v>2.7357900266107744E-4</v>
      </c>
      <c r="AD251" s="32">
        <f t="shared" si="18"/>
        <v>3.1309412055422983E-4</v>
      </c>
      <c r="AE251" s="32">
        <f t="shared" si="18"/>
        <v>2.2757865978086209E-4</v>
      </c>
      <c r="AF251" s="32">
        <f t="shared" si="17"/>
        <v>2.3223821788752165E-4</v>
      </c>
      <c r="AG251" s="32">
        <f t="shared" si="17"/>
        <v>3.0755785225208495E-4</v>
      </c>
      <c r="AH251" s="32">
        <f t="shared" si="17"/>
        <v>3.824259600395807E-4</v>
      </c>
      <c r="AI251" s="32">
        <f t="shared" si="17"/>
        <v>1.0433558671552154E-3</v>
      </c>
      <c r="AJ251" s="32">
        <f t="shared" si="17"/>
        <v>4.9022579165553829E-3</v>
      </c>
      <c r="AK251" s="33">
        <f t="shared" si="16"/>
        <v>4.9554162519655181E-4</v>
      </c>
    </row>
    <row r="252" spans="1:37" x14ac:dyDescent="0.3">
      <c r="A252" t="s">
        <v>66</v>
      </c>
      <c r="B252" s="1">
        <v>2015</v>
      </c>
      <c r="C252" s="1" t="str">
        <f t="shared" si="15"/>
        <v>Nebraska, 2015</v>
      </c>
      <c r="D252" s="27">
        <v>117</v>
      </c>
      <c r="E252" s="27">
        <v>42</v>
      </c>
      <c r="F252" s="27">
        <v>40</v>
      </c>
      <c r="G252" s="27">
        <v>56</v>
      </c>
      <c r="H252" s="27">
        <v>41</v>
      </c>
      <c r="I252" s="27">
        <v>64</v>
      </c>
      <c r="J252" s="27">
        <v>50</v>
      </c>
      <c r="K252" s="27">
        <v>45</v>
      </c>
      <c r="L252" s="27">
        <v>66</v>
      </c>
      <c r="M252" s="27">
        <v>193</v>
      </c>
      <c r="N252" s="27">
        <v>66</v>
      </c>
      <c r="O252" s="28">
        <v>780</v>
      </c>
      <c r="P252" s="29">
        <v>113712.83800000003</v>
      </c>
      <c r="Q252" s="30">
        <v>226575.31600000002</v>
      </c>
      <c r="R252" s="30">
        <v>235431.61</v>
      </c>
      <c r="S252" s="30">
        <v>226702.22599999997</v>
      </c>
      <c r="T252" s="30">
        <v>202068.04399999999</v>
      </c>
      <c r="U252" s="30">
        <v>214496.7239999999</v>
      </c>
      <c r="V252" s="30">
        <v>201742.94899999996</v>
      </c>
      <c r="W252" s="30">
        <v>123089.61299999998</v>
      </c>
      <c r="X252" s="30">
        <v>69949.071000000025</v>
      </c>
      <c r="Y252" s="30">
        <v>32724.993000000013</v>
      </c>
      <c r="Z252" s="31">
        <v>1647419</v>
      </c>
      <c r="AA252" s="32">
        <f t="shared" si="18"/>
        <v>1.0289075715443842E-3</v>
      </c>
      <c r="AB252" s="32">
        <f t="shared" si="18"/>
        <v>1.8536882455456885E-4</v>
      </c>
      <c r="AC252" s="32">
        <f t="shared" si="18"/>
        <v>1.6990071978864691E-4</v>
      </c>
      <c r="AD252" s="32">
        <f t="shared" si="18"/>
        <v>2.4702007116595321E-4</v>
      </c>
      <c r="AE252" s="32">
        <f t="shared" si="18"/>
        <v>2.0290194920677315E-4</v>
      </c>
      <c r="AF252" s="32">
        <f t="shared" si="17"/>
        <v>2.9837285533554364E-4</v>
      </c>
      <c r="AG252" s="32">
        <f t="shared" si="17"/>
        <v>2.4784013641041805E-4</v>
      </c>
      <c r="AH252" s="32">
        <f t="shared" si="17"/>
        <v>3.6558730589233393E-4</v>
      </c>
      <c r="AI252" s="32">
        <f t="shared" si="17"/>
        <v>9.4354362476093464E-4</v>
      </c>
      <c r="AJ252" s="32">
        <f t="shared" si="17"/>
        <v>5.8976330415105027E-3</v>
      </c>
      <c r="AK252" s="33">
        <f t="shared" si="16"/>
        <v>4.7346789128934413E-4</v>
      </c>
    </row>
    <row r="253" spans="1:37" x14ac:dyDescent="0.3">
      <c r="A253" t="s">
        <v>66</v>
      </c>
      <c r="B253" s="1">
        <v>2016</v>
      </c>
      <c r="C253" s="1" t="str">
        <f t="shared" si="15"/>
        <v>Nebraska, 2016</v>
      </c>
      <c r="D253" s="27">
        <v>150</v>
      </c>
      <c r="E253" s="27">
        <v>49</v>
      </c>
      <c r="F253" s="27">
        <v>39</v>
      </c>
      <c r="G253" s="27">
        <v>31</v>
      </c>
      <c r="H253" s="27">
        <v>42</v>
      </c>
      <c r="I253" s="27">
        <v>47</v>
      </c>
      <c r="J253" s="27">
        <v>45</v>
      </c>
      <c r="K253" s="27">
        <v>32</v>
      </c>
      <c r="L253" s="27">
        <v>62</v>
      </c>
      <c r="M253" s="27">
        <v>174</v>
      </c>
      <c r="N253" s="27">
        <v>60</v>
      </c>
      <c r="O253" s="28">
        <v>731</v>
      </c>
      <c r="P253" s="29">
        <v>124771.5</v>
      </c>
      <c r="Q253" s="30">
        <v>250131.31499999997</v>
      </c>
      <c r="R253" s="30">
        <v>254233.24500000005</v>
      </c>
      <c r="S253" s="30">
        <v>244488.26899999997</v>
      </c>
      <c r="T253" s="30">
        <v>217465.21899999995</v>
      </c>
      <c r="U253" s="30">
        <v>227030.39200000002</v>
      </c>
      <c r="V253" s="30">
        <v>221557.75</v>
      </c>
      <c r="W253" s="30">
        <v>138726.38999999998</v>
      </c>
      <c r="X253" s="30">
        <v>78083.206000000006</v>
      </c>
      <c r="Y253" s="30">
        <v>37547.967000000004</v>
      </c>
      <c r="Z253" s="31">
        <v>1793993</v>
      </c>
      <c r="AA253" s="32">
        <f t="shared" si="18"/>
        <v>1.2021976172443226E-3</v>
      </c>
      <c r="AB253" s="32">
        <f t="shared" si="18"/>
        <v>1.9589710308763221E-4</v>
      </c>
      <c r="AC253" s="32">
        <f t="shared" si="18"/>
        <v>1.5340243955899626E-4</v>
      </c>
      <c r="AD253" s="32">
        <f t="shared" si="18"/>
        <v>1.2679544964179859E-4</v>
      </c>
      <c r="AE253" s="32">
        <f t="shared" si="18"/>
        <v>1.9313433289762079E-4</v>
      </c>
      <c r="AF253" s="32">
        <f t="shared" si="17"/>
        <v>2.0702074108210145E-4</v>
      </c>
      <c r="AG253" s="32">
        <f t="shared" si="17"/>
        <v>2.0310731626404401E-4</v>
      </c>
      <c r="AH253" s="32">
        <f t="shared" si="17"/>
        <v>2.3066988191648325E-4</v>
      </c>
      <c r="AI253" s="32">
        <f t="shared" si="17"/>
        <v>7.9402477403399646E-4</v>
      </c>
      <c r="AJ253" s="32">
        <f t="shared" si="17"/>
        <v>4.6340724652282764E-3</v>
      </c>
      <c r="AK253" s="33">
        <f t="shared" si="16"/>
        <v>4.0747093216082786E-4</v>
      </c>
    </row>
    <row r="254" spans="1:37" x14ac:dyDescent="0.3">
      <c r="A254" t="s">
        <v>66</v>
      </c>
      <c r="B254" s="1">
        <v>2017</v>
      </c>
      <c r="C254" s="1" t="str">
        <f t="shared" si="15"/>
        <v>Nebraska, 2017</v>
      </c>
      <c r="D254" s="27">
        <v>80</v>
      </c>
      <c r="E254" s="27">
        <v>68</v>
      </c>
      <c r="F254" s="27">
        <v>37</v>
      </c>
      <c r="G254" s="27">
        <v>55</v>
      </c>
      <c r="H254" s="27">
        <v>51</v>
      </c>
      <c r="I254" s="27">
        <v>55</v>
      </c>
      <c r="J254" s="27">
        <v>55</v>
      </c>
      <c r="K254" s="27">
        <v>59</v>
      </c>
      <c r="L254" s="27">
        <v>72</v>
      </c>
      <c r="M254" s="27">
        <v>218</v>
      </c>
      <c r="N254" s="27">
        <v>52</v>
      </c>
      <c r="O254" s="28">
        <v>802</v>
      </c>
      <c r="P254" s="29">
        <v>119699</v>
      </c>
      <c r="Q254" s="30">
        <v>238440</v>
      </c>
      <c r="R254" s="30">
        <v>241026</v>
      </c>
      <c r="S254" s="30">
        <v>234672</v>
      </c>
      <c r="T254" s="30">
        <v>209298</v>
      </c>
      <c r="U254" s="30">
        <v>209306</v>
      </c>
      <c r="V254" s="30">
        <v>210394</v>
      </c>
      <c r="W254" s="30">
        <v>135214</v>
      </c>
      <c r="X254" s="30">
        <v>72492</v>
      </c>
      <c r="Y254" s="30">
        <v>34262</v>
      </c>
      <c r="Z254" s="31">
        <v>1704803</v>
      </c>
      <c r="AA254" s="32">
        <f t="shared" si="18"/>
        <v>6.6834309392726761E-4</v>
      </c>
      <c r="AB254" s="32">
        <f t="shared" si="18"/>
        <v>2.8518704915282673E-4</v>
      </c>
      <c r="AC254" s="32">
        <f t="shared" si="18"/>
        <v>1.5351040966534731E-4</v>
      </c>
      <c r="AD254" s="32">
        <f t="shared" si="18"/>
        <v>2.3436967341651326E-4</v>
      </c>
      <c r="AE254" s="32">
        <f t="shared" si="18"/>
        <v>2.4367170254851932E-4</v>
      </c>
      <c r="AF254" s="32">
        <f t="shared" si="17"/>
        <v>2.627731646488873E-4</v>
      </c>
      <c r="AG254" s="32">
        <f t="shared" si="17"/>
        <v>2.614142988868504E-4</v>
      </c>
      <c r="AH254" s="32">
        <f t="shared" si="17"/>
        <v>4.3634534885440856E-4</v>
      </c>
      <c r="AI254" s="32">
        <f t="shared" si="17"/>
        <v>9.9321304419798051E-4</v>
      </c>
      <c r="AJ254" s="32">
        <f t="shared" si="17"/>
        <v>6.3627342245052825E-3</v>
      </c>
      <c r="AK254" s="33">
        <f t="shared" si="16"/>
        <v>4.7043558698571037E-4</v>
      </c>
    </row>
    <row r="255" spans="1:37" x14ac:dyDescent="0.3">
      <c r="A255" t="s">
        <v>67</v>
      </c>
      <c r="B255" s="1">
        <v>2009</v>
      </c>
      <c r="C255" s="1" t="str">
        <f t="shared" si="15"/>
        <v>Nevada, 2009</v>
      </c>
      <c r="D255" s="27">
        <v>103</v>
      </c>
      <c r="E255" s="27">
        <v>73</v>
      </c>
      <c r="F255" s="27">
        <v>48</v>
      </c>
      <c r="G255" s="27">
        <v>35</v>
      </c>
      <c r="H255" s="27">
        <v>54</v>
      </c>
      <c r="I255" s="27">
        <v>54</v>
      </c>
      <c r="J255" s="27">
        <v>57</v>
      </c>
      <c r="K255" s="27">
        <v>82</v>
      </c>
      <c r="L255" s="27">
        <v>128</v>
      </c>
      <c r="M255" s="27">
        <v>147</v>
      </c>
      <c r="N255" s="27">
        <v>45</v>
      </c>
      <c r="O255" s="28">
        <v>826</v>
      </c>
      <c r="P255" s="29">
        <v>195159.26299999998</v>
      </c>
      <c r="Q255" s="30">
        <v>355676.5610000001</v>
      </c>
      <c r="R255" s="30">
        <v>327975.00299999997</v>
      </c>
      <c r="S255" s="30">
        <v>376724.60199999996</v>
      </c>
      <c r="T255" s="30">
        <v>370811.63000000006</v>
      </c>
      <c r="U255" s="30">
        <v>346273.29500000004</v>
      </c>
      <c r="V255" s="30">
        <v>278050.35899999994</v>
      </c>
      <c r="W255" s="30">
        <v>164275.18400000001</v>
      </c>
      <c r="X255" s="30">
        <v>94969.47199999998</v>
      </c>
      <c r="Y255" s="30">
        <v>28295.126999999993</v>
      </c>
      <c r="Z255" s="31">
        <v>2534911</v>
      </c>
      <c r="AA255" s="32">
        <f t="shared" si="18"/>
        <v>5.2777407752354559E-4</v>
      </c>
      <c r="AB255" s="32">
        <f t="shared" si="18"/>
        <v>2.0524265021781962E-4</v>
      </c>
      <c r="AC255" s="32">
        <f t="shared" si="18"/>
        <v>1.4635261700111945E-4</v>
      </c>
      <c r="AD255" s="32">
        <f t="shared" si="18"/>
        <v>9.2906064043038011E-5</v>
      </c>
      <c r="AE255" s="32">
        <f t="shared" si="18"/>
        <v>1.4562650044174717E-4</v>
      </c>
      <c r="AF255" s="32">
        <f t="shared" si="17"/>
        <v>1.5594618695617286E-4</v>
      </c>
      <c r="AG255" s="32">
        <f t="shared" si="17"/>
        <v>2.049988362000281E-4</v>
      </c>
      <c r="AH255" s="32">
        <f t="shared" si="17"/>
        <v>4.9916242979219547E-4</v>
      </c>
      <c r="AI255" s="32">
        <f t="shared" si="17"/>
        <v>1.3478015335285851E-3</v>
      </c>
      <c r="AJ255" s="32">
        <f t="shared" si="17"/>
        <v>5.1952408624990455E-3</v>
      </c>
      <c r="AK255" s="33">
        <f t="shared" si="16"/>
        <v>3.2584970438804362E-4</v>
      </c>
    </row>
    <row r="256" spans="1:37" x14ac:dyDescent="0.3">
      <c r="A256" t="s">
        <v>67</v>
      </c>
      <c r="B256" s="1">
        <v>2010</v>
      </c>
      <c r="C256" s="1" t="str">
        <f t="shared" si="15"/>
        <v>Nevada, 2010</v>
      </c>
      <c r="D256" s="27">
        <v>108</v>
      </c>
      <c r="E256" s="27">
        <v>60</v>
      </c>
      <c r="F256" s="27">
        <v>49</v>
      </c>
      <c r="G256" s="27">
        <v>45</v>
      </c>
      <c r="H256" s="27">
        <v>62</v>
      </c>
      <c r="I256" s="27">
        <v>63</v>
      </c>
      <c r="J256" s="27">
        <v>58</v>
      </c>
      <c r="K256" s="27">
        <v>74</v>
      </c>
      <c r="L256" s="27">
        <v>147</v>
      </c>
      <c r="M256" s="27">
        <v>117</v>
      </c>
      <c r="N256" s="27">
        <v>81</v>
      </c>
      <c r="O256" s="28">
        <v>864</v>
      </c>
      <c r="P256" s="29">
        <v>188938.50899999993</v>
      </c>
      <c r="Q256" s="30">
        <v>358346.5199999999</v>
      </c>
      <c r="R256" s="30">
        <v>352832.17200000002</v>
      </c>
      <c r="S256" s="30">
        <v>380831.01599999995</v>
      </c>
      <c r="T256" s="30">
        <v>385294.76699999982</v>
      </c>
      <c r="U256" s="30">
        <v>365177.89699999988</v>
      </c>
      <c r="V256" s="30">
        <v>299854.80399999995</v>
      </c>
      <c r="W256" s="30">
        <v>181075.54400000002</v>
      </c>
      <c r="X256" s="30">
        <v>92019.991999999998</v>
      </c>
      <c r="Y256" s="30">
        <v>28664.335999999996</v>
      </c>
      <c r="Z256" s="31">
        <v>2633331</v>
      </c>
      <c r="AA256" s="32">
        <f t="shared" si="18"/>
        <v>5.7161454576737467E-4</v>
      </c>
      <c r="AB256" s="32">
        <f t="shared" si="18"/>
        <v>1.6743569883139934E-4</v>
      </c>
      <c r="AC256" s="32">
        <f t="shared" si="18"/>
        <v>1.3887622469982696E-4</v>
      </c>
      <c r="AD256" s="32">
        <f t="shared" si="18"/>
        <v>1.1816264460980775E-4</v>
      </c>
      <c r="AE256" s="32">
        <f t="shared" si="18"/>
        <v>1.6091575933602033E-4</v>
      </c>
      <c r="AF256" s="32">
        <f t="shared" si="17"/>
        <v>1.725186560236969E-4</v>
      </c>
      <c r="AG256" s="32">
        <f t="shared" si="17"/>
        <v>1.9342694939781591E-4</v>
      </c>
      <c r="AH256" s="32">
        <f t="shared" si="17"/>
        <v>4.0866921266849811E-4</v>
      </c>
      <c r="AI256" s="32">
        <f t="shared" si="17"/>
        <v>1.5974789478355965E-3</v>
      </c>
      <c r="AJ256" s="32">
        <f t="shared" si="17"/>
        <v>4.0817272027511824E-3</v>
      </c>
      <c r="AK256" s="33">
        <f t="shared" si="16"/>
        <v>3.2810155654568304E-4</v>
      </c>
    </row>
    <row r="257" spans="1:37" x14ac:dyDescent="0.3">
      <c r="A257" t="s">
        <v>67</v>
      </c>
      <c r="B257" s="1">
        <v>2011</v>
      </c>
      <c r="C257" s="1" t="str">
        <f t="shared" si="15"/>
        <v>Nevada, 2011</v>
      </c>
      <c r="D257" s="27">
        <v>111</v>
      </c>
      <c r="E257" s="27">
        <v>49</v>
      </c>
      <c r="F257" s="27">
        <v>50</v>
      </c>
      <c r="G257" s="27">
        <v>67</v>
      </c>
      <c r="H257" s="27">
        <v>57</v>
      </c>
      <c r="I257" s="27">
        <v>70</v>
      </c>
      <c r="J257" s="27">
        <v>49</v>
      </c>
      <c r="K257" s="27">
        <v>73</v>
      </c>
      <c r="L257" s="27">
        <v>132</v>
      </c>
      <c r="M257" s="27">
        <v>108</v>
      </c>
      <c r="N257" s="27">
        <v>57</v>
      </c>
      <c r="O257" s="28">
        <v>823</v>
      </c>
      <c r="P257" s="29">
        <v>188930.70299999998</v>
      </c>
      <c r="Q257" s="30">
        <v>362014.40500000003</v>
      </c>
      <c r="R257" s="30">
        <v>356877.71799999999</v>
      </c>
      <c r="S257" s="30">
        <v>384725.45200000005</v>
      </c>
      <c r="T257" s="30">
        <v>385531.375</v>
      </c>
      <c r="U257" s="30">
        <v>369005.23900000012</v>
      </c>
      <c r="V257" s="30">
        <v>307180.96100000001</v>
      </c>
      <c r="W257" s="30">
        <v>191182.019</v>
      </c>
      <c r="X257" s="30">
        <v>93996.037999999986</v>
      </c>
      <c r="Y257" s="30">
        <v>29622.669999999995</v>
      </c>
      <c r="Z257" s="31">
        <v>2667322</v>
      </c>
      <c r="AA257" s="32">
        <f t="shared" si="18"/>
        <v>5.8751700087624197E-4</v>
      </c>
      <c r="AB257" s="32">
        <f t="shared" si="18"/>
        <v>1.3535372991580266E-4</v>
      </c>
      <c r="AC257" s="32">
        <f t="shared" si="18"/>
        <v>1.4010401176124982E-4</v>
      </c>
      <c r="AD257" s="32">
        <f t="shared" si="18"/>
        <v>1.7415016254240437E-4</v>
      </c>
      <c r="AE257" s="32">
        <f t="shared" si="18"/>
        <v>1.4784788916336576E-4</v>
      </c>
      <c r="AF257" s="32">
        <f t="shared" si="17"/>
        <v>1.8969920370154957E-4</v>
      </c>
      <c r="AG257" s="32">
        <f t="shared" si="17"/>
        <v>1.5951509442670178E-4</v>
      </c>
      <c r="AH257" s="32">
        <f t="shared" si="17"/>
        <v>3.8183507205246118E-4</v>
      </c>
      <c r="AI257" s="32">
        <f t="shared" si="17"/>
        <v>1.4043145095115606E-3</v>
      </c>
      <c r="AJ257" s="32">
        <f t="shared" si="17"/>
        <v>3.6458563660871899E-3</v>
      </c>
      <c r="AK257" s="33">
        <f t="shared" si="16"/>
        <v>3.0854917404047954E-4</v>
      </c>
    </row>
    <row r="258" spans="1:37" x14ac:dyDescent="0.3">
      <c r="A258" t="s">
        <v>67</v>
      </c>
      <c r="B258" s="1">
        <v>2012</v>
      </c>
      <c r="C258" s="1" t="str">
        <f t="shared" si="15"/>
        <v>Nevada, 2012</v>
      </c>
      <c r="D258" s="27">
        <v>122</v>
      </c>
      <c r="E258" s="27">
        <v>42</v>
      </c>
      <c r="F258" s="27">
        <v>55</v>
      </c>
      <c r="G258" s="27">
        <v>48</v>
      </c>
      <c r="H258" s="27">
        <v>67</v>
      </c>
      <c r="I258" s="27">
        <v>36</v>
      </c>
      <c r="J258" s="27">
        <v>59</v>
      </c>
      <c r="K258" s="27">
        <v>80</v>
      </c>
      <c r="L258" s="27">
        <v>158</v>
      </c>
      <c r="M258" s="27">
        <v>143</v>
      </c>
      <c r="N258" s="27">
        <v>45</v>
      </c>
      <c r="O258" s="28">
        <v>855</v>
      </c>
      <c r="P258" s="29">
        <v>184328.69800000003</v>
      </c>
      <c r="Q258" s="30">
        <v>360228.33399999992</v>
      </c>
      <c r="R258" s="30">
        <v>355629.1399999999</v>
      </c>
      <c r="S258" s="30">
        <v>382857.65100000007</v>
      </c>
      <c r="T258" s="30">
        <v>379857.913</v>
      </c>
      <c r="U258" s="30">
        <v>369203.14499999996</v>
      </c>
      <c r="V258" s="30">
        <v>312944.30700000003</v>
      </c>
      <c r="W258" s="30">
        <v>198102.46400000001</v>
      </c>
      <c r="X258" s="30">
        <v>96029.72600000001</v>
      </c>
      <c r="Y258" s="30">
        <v>32284.492999999999</v>
      </c>
      <c r="Z258" s="31">
        <v>2669454</v>
      </c>
      <c r="AA258" s="32">
        <f t="shared" si="18"/>
        <v>6.6186112810279803E-4</v>
      </c>
      <c r="AB258" s="32">
        <f t="shared" si="18"/>
        <v>1.1659271644078949E-4</v>
      </c>
      <c r="AC258" s="32">
        <f t="shared" si="18"/>
        <v>1.5465549307911049E-4</v>
      </c>
      <c r="AD258" s="32">
        <f t="shared" si="18"/>
        <v>1.2537296792848994E-4</v>
      </c>
      <c r="AE258" s="32">
        <f t="shared" si="18"/>
        <v>1.7638174092742936E-4</v>
      </c>
      <c r="AF258" s="32">
        <f t="shared" si="17"/>
        <v>9.7507295069222677E-5</v>
      </c>
      <c r="AG258" s="32">
        <f t="shared" si="17"/>
        <v>1.8853194859365182E-4</v>
      </c>
      <c r="AH258" s="32">
        <f t="shared" si="17"/>
        <v>4.0383142331838941E-4</v>
      </c>
      <c r="AI258" s="32">
        <f t="shared" si="17"/>
        <v>1.6453238656538496E-3</v>
      </c>
      <c r="AJ258" s="32">
        <f t="shared" si="17"/>
        <v>4.4293710915639904E-3</v>
      </c>
      <c r="AK258" s="33">
        <f t="shared" si="16"/>
        <v>3.202902166510455E-4</v>
      </c>
    </row>
    <row r="259" spans="1:37" x14ac:dyDescent="0.3">
      <c r="A259" t="s">
        <v>67</v>
      </c>
      <c r="B259" s="1">
        <v>2013</v>
      </c>
      <c r="C259" s="1" t="str">
        <f t="shared" si="15"/>
        <v>Nevada, 2013</v>
      </c>
      <c r="D259" s="27">
        <v>127</v>
      </c>
      <c r="E259" s="27">
        <v>47</v>
      </c>
      <c r="F259" s="27">
        <v>57</v>
      </c>
      <c r="G259" s="27">
        <v>57</v>
      </c>
      <c r="H259" s="27">
        <v>43</v>
      </c>
      <c r="I259" s="27">
        <v>56</v>
      </c>
      <c r="J259" s="27">
        <v>61</v>
      </c>
      <c r="K259" s="27">
        <v>81</v>
      </c>
      <c r="L259" s="27">
        <v>108</v>
      </c>
      <c r="M259" s="27">
        <v>127</v>
      </c>
      <c r="N259" s="27">
        <v>53</v>
      </c>
      <c r="O259" s="28">
        <v>817</v>
      </c>
      <c r="P259" s="29">
        <v>182396.15999999997</v>
      </c>
      <c r="Q259" s="30">
        <v>366515.15899999999</v>
      </c>
      <c r="R259" s="30">
        <v>360456.462</v>
      </c>
      <c r="S259" s="30">
        <v>390163.61100000003</v>
      </c>
      <c r="T259" s="30">
        <v>381368.70699999999</v>
      </c>
      <c r="U259" s="30">
        <v>375227.31099999999</v>
      </c>
      <c r="V259" s="30">
        <v>321994.88899999997</v>
      </c>
      <c r="W259" s="30">
        <v>211259.10500000001</v>
      </c>
      <c r="X259" s="30">
        <v>99064.590999999971</v>
      </c>
      <c r="Y259" s="30">
        <v>33460.852999999996</v>
      </c>
      <c r="Z259" s="31">
        <v>2724400</v>
      </c>
      <c r="AA259" s="32">
        <f t="shared" si="18"/>
        <v>6.9628658848958232E-4</v>
      </c>
      <c r="AB259" s="32">
        <f t="shared" si="18"/>
        <v>1.2823480515303872E-4</v>
      </c>
      <c r="AC259" s="32">
        <f t="shared" si="18"/>
        <v>1.5813282881303983E-4</v>
      </c>
      <c r="AD259" s="32">
        <f t="shared" si="18"/>
        <v>1.4609255807815453E-4</v>
      </c>
      <c r="AE259" s="32">
        <f t="shared" si="18"/>
        <v>1.1275177855638796E-4</v>
      </c>
      <c r="AF259" s="32">
        <f t="shared" si="17"/>
        <v>1.4924286787855909E-4</v>
      </c>
      <c r="AG259" s="32">
        <f t="shared" si="17"/>
        <v>1.8944400077108058E-4</v>
      </c>
      <c r="AH259" s="32">
        <f t="shared" si="17"/>
        <v>3.8341542723093521E-4</v>
      </c>
      <c r="AI259" s="32">
        <f t="shared" si="17"/>
        <v>1.0901978084177427E-3</v>
      </c>
      <c r="AJ259" s="32">
        <f t="shared" si="17"/>
        <v>3.7954800494775197E-3</v>
      </c>
      <c r="AK259" s="33">
        <f t="shared" si="16"/>
        <v>2.9988254294523566E-4</v>
      </c>
    </row>
    <row r="260" spans="1:37" x14ac:dyDescent="0.3">
      <c r="A260" t="s">
        <v>67</v>
      </c>
      <c r="B260" s="1">
        <v>2014</v>
      </c>
      <c r="C260" s="1" t="str">
        <f t="shared" ref="C260:C323" si="19">A260&amp;", "&amp;B260</f>
        <v>Nevada, 2014</v>
      </c>
      <c r="D260" s="27">
        <v>95</v>
      </c>
      <c r="E260" s="27">
        <v>54</v>
      </c>
      <c r="F260" s="27">
        <v>60</v>
      </c>
      <c r="G260" s="27">
        <v>43</v>
      </c>
      <c r="H260" s="27">
        <v>53</v>
      </c>
      <c r="I260" s="27">
        <v>44</v>
      </c>
      <c r="J260" s="27">
        <v>74</v>
      </c>
      <c r="K260" s="27">
        <v>160</v>
      </c>
      <c r="L260" s="27">
        <v>179</v>
      </c>
      <c r="M260" s="27">
        <v>169</v>
      </c>
      <c r="N260" s="27">
        <v>44</v>
      </c>
      <c r="O260" s="28">
        <v>975</v>
      </c>
      <c r="P260" s="29">
        <v>177726.55899999998</v>
      </c>
      <c r="Q260" s="30">
        <v>363943.74200000009</v>
      </c>
      <c r="R260" s="30">
        <v>357623.23</v>
      </c>
      <c r="S260" s="30">
        <v>389781.61100000003</v>
      </c>
      <c r="T260" s="30">
        <v>375164.77299999999</v>
      </c>
      <c r="U260" s="30">
        <v>370521.55700000003</v>
      </c>
      <c r="V260" s="30">
        <v>322570.78999999998</v>
      </c>
      <c r="W260" s="30">
        <v>217546.90800000002</v>
      </c>
      <c r="X260" s="30">
        <v>99149.26999999999</v>
      </c>
      <c r="Y260" s="30">
        <v>35487.631999999998</v>
      </c>
      <c r="Z260" s="31">
        <v>2709917</v>
      </c>
      <c r="AA260" s="32">
        <f t="shared" si="18"/>
        <v>5.3452900081185954E-4</v>
      </c>
      <c r="AB260" s="32">
        <f t="shared" si="18"/>
        <v>1.4837458037676599E-4</v>
      </c>
      <c r="AC260" s="32">
        <f t="shared" si="18"/>
        <v>1.6777433613582654E-4</v>
      </c>
      <c r="AD260" s="32">
        <f t="shared" si="18"/>
        <v>1.1031818532865574E-4</v>
      </c>
      <c r="AE260" s="32">
        <f t="shared" si="18"/>
        <v>1.4127125949535779E-4</v>
      </c>
      <c r="AF260" s="32">
        <f t="shared" si="17"/>
        <v>1.1875152516429698E-4</v>
      </c>
      <c r="AG260" s="32">
        <f t="shared" si="17"/>
        <v>2.2940700861352016E-4</v>
      </c>
      <c r="AH260" s="32">
        <f t="shared" si="17"/>
        <v>7.3547356508509867E-4</v>
      </c>
      <c r="AI260" s="32">
        <f t="shared" si="17"/>
        <v>1.8053587283093464E-3</v>
      </c>
      <c r="AJ260" s="32">
        <f t="shared" si="17"/>
        <v>4.7622225117753703E-3</v>
      </c>
      <c r="AK260" s="33">
        <f t="shared" ref="AK260:AK323" si="20">O260/Z260</f>
        <v>3.5978961717277687E-4</v>
      </c>
    </row>
    <row r="261" spans="1:37" x14ac:dyDescent="0.3">
      <c r="A261" t="s">
        <v>67</v>
      </c>
      <c r="B261" s="1">
        <v>2015</v>
      </c>
      <c r="C261" s="1" t="str">
        <f t="shared" si="19"/>
        <v>Nevada, 2015</v>
      </c>
      <c r="D261" s="27">
        <v>104</v>
      </c>
      <c r="E261" s="27">
        <v>63</v>
      </c>
      <c r="F261" s="27">
        <v>48</v>
      </c>
      <c r="G261" s="27">
        <v>51</v>
      </c>
      <c r="H261" s="27">
        <v>48</v>
      </c>
      <c r="I261" s="27">
        <v>40</v>
      </c>
      <c r="J261" s="27">
        <v>63</v>
      </c>
      <c r="K261" s="27">
        <v>129</v>
      </c>
      <c r="L261" s="27">
        <v>168</v>
      </c>
      <c r="M261" s="27">
        <v>178</v>
      </c>
      <c r="N261" s="27">
        <v>59</v>
      </c>
      <c r="O261" s="28">
        <v>951</v>
      </c>
      <c r="P261" s="29">
        <v>179627.22499999998</v>
      </c>
      <c r="Q261" s="30">
        <v>370926.35399999999</v>
      </c>
      <c r="R261" s="30">
        <v>361104.62600000005</v>
      </c>
      <c r="S261" s="30">
        <v>397515.69200000004</v>
      </c>
      <c r="T261" s="30">
        <v>380805.42799999996</v>
      </c>
      <c r="U261" s="30">
        <v>378114.12699999992</v>
      </c>
      <c r="V261" s="30">
        <v>335412.93400000001</v>
      </c>
      <c r="W261" s="30">
        <v>233929.15099999998</v>
      </c>
      <c r="X261" s="30">
        <v>107746.51199999999</v>
      </c>
      <c r="Y261" s="30">
        <v>36780.574000000001</v>
      </c>
      <c r="Z261" s="31">
        <v>2785450</v>
      </c>
      <c r="AA261" s="32">
        <f t="shared" si="18"/>
        <v>5.7897682269488946E-4</v>
      </c>
      <c r="AB261" s="32">
        <f t="shared" si="18"/>
        <v>1.6984503613889888E-4</v>
      </c>
      <c r="AC261" s="32">
        <f t="shared" si="18"/>
        <v>1.3292546410081159E-4</v>
      </c>
      <c r="AD261" s="32">
        <f t="shared" si="18"/>
        <v>1.2829682205350523E-4</v>
      </c>
      <c r="AE261" s="32">
        <f t="shared" si="18"/>
        <v>1.2604862344556709E-4</v>
      </c>
      <c r="AF261" s="32">
        <f t="shared" si="17"/>
        <v>1.0578816591002432E-4</v>
      </c>
      <c r="AG261" s="32">
        <f t="shared" si="17"/>
        <v>1.8782817719247523E-4</v>
      </c>
      <c r="AH261" s="32">
        <f t="shared" si="17"/>
        <v>5.5144901543288216E-4</v>
      </c>
      <c r="AI261" s="32">
        <f t="shared" si="17"/>
        <v>1.559215206892266E-3</v>
      </c>
      <c r="AJ261" s="32">
        <f t="shared" si="17"/>
        <v>4.8395112050181703E-3</v>
      </c>
      <c r="AK261" s="33">
        <f t="shared" si="20"/>
        <v>3.4141700622879607E-4</v>
      </c>
    </row>
    <row r="262" spans="1:37" x14ac:dyDescent="0.3">
      <c r="A262" t="s">
        <v>67</v>
      </c>
      <c r="B262" s="1">
        <v>2016</v>
      </c>
      <c r="C262" s="1" t="str">
        <f t="shared" si="19"/>
        <v>Nevada, 2016</v>
      </c>
      <c r="D262" s="27">
        <v>106</v>
      </c>
      <c r="E262" s="27">
        <v>69</v>
      </c>
      <c r="F262" s="27">
        <v>41</v>
      </c>
      <c r="G262" s="27">
        <v>57</v>
      </c>
      <c r="H262" s="27">
        <v>55</v>
      </c>
      <c r="I262" s="27">
        <v>66</v>
      </c>
      <c r="J262" s="27">
        <v>81</v>
      </c>
      <c r="K262" s="27">
        <v>116</v>
      </c>
      <c r="L262" s="27">
        <v>152</v>
      </c>
      <c r="M262" s="27">
        <v>122</v>
      </c>
      <c r="N262" s="27">
        <v>67</v>
      </c>
      <c r="O262" s="28">
        <v>932</v>
      </c>
      <c r="P262" s="29">
        <v>178087.73400000003</v>
      </c>
      <c r="Q262" s="30">
        <v>369655.51399999997</v>
      </c>
      <c r="R262" s="30">
        <v>359585.58799999999</v>
      </c>
      <c r="S262" s="30">
        <v>404298.51899999991</v>
      </c>
      <c r="T262" s="30">
        <v>381004.59799999988</v>
      </c>
      <c r="U262" s="30">
        <v>381829.94000000012</v>
      </c>
      <c r="V262" s="30">
        <v>342591.81699999998</v>
      </c>
      <c r="W262" s="30">
        <v>250033.47399999999</v>
      </c>
      <c r="X262" s="30">
        <v>114462.568</v>
      </c>
      <c r="Y262" s="30">
        <v>37416.021999999997</v>
      </c>
      <c r="Z262" s="31">
        <v>2821018</v>
      </c>
      <c r="AA262" s="32">
        <f t="shared" si="18"/>
        <v>5.9521224521841569E-4</v>
      </c>
      <c r="AB262" s="32">
        <f t="shared" si="18"/>
        <v>1.8666027527456281E-4</v>
      </c>
      <c r="AC262" s="32">
        <f t="shared" si="18"/>
        <v>1.1402014254253149E-4</v>
      </c>
      <c r="AD262" s="32">
        <f t="shared" si="18"/>
        <v>1.4098493395668367E-4</v>
      </c>
      <c r="AE262" s="32">
        <f t="shared" si="18"/>
        <v>1.4435521326700633E-4</v>
      </c>
      <c r="AF262" s="32">
        <f t="shared" si="17"/>
        <v>1.728518198441955E-4</v>
      </c>
      <c r="AG262" s="32">
        <f t="shared" si="17"/>
        <v>2.3643296769111099E-4</v>
      </c>
      <c r="AH262" s="32">
        <f t="shared" si="17"/>
        <v>4.6393788057354273E-4</v>
      </c>
      <c r="AI262" s="32">
        <f t="shared" si="17"/>
        <v>1.3279450448813973E-3</v>
      </c>
      <c r="AJ262" s="32">
        <f t="shared" si="17"/>
        <v>3.2606352433724784E-3</v>
      </c>
      <c r="AK262" s="33">
        <f t="shared" si="20"/>
        <v>3.3037719007819166E-4</v>
      </c>
    </row>
    <row r="263" spans="1:37" x14ac:dyDescent="0.3">
      <c r="A263" t="s">
        <v>67</v>
      </c>
      <c r="B263" s="1">
        <v>2017</v>
      </c>
      <c r="C263" s="1" t="str">
        <f t="shared" si="19"/>
        <v>Nevada, 2017</v>
      </c>
      <c r="D263" s="27">
        <v>108</v>
      </c>
      <c r="E263" s="27">
        <v>42</v>
      </c>
      <c r="F263" s="27">
        <v>57</v>
      </c>
      <c r="G263" s="27">
        <v>57</v>
      </c>
      <c r="H263" s="27">
        <v>40</v>
      </c>
      <c r="I263" s="27">
        <v>59</v>
      </c>
      <c r="J263" s="27">
        <v>91</v>
      </c>
      <c r="K263" s="27">
        <v>160</v>
      </c>
      <c r="L263" s="27">
        <v>131</v>
      </c>
      <c r="M263" s="27">
        <v>151</v>
      </c>
      <c r="N263" s="27">
        <v>63</v>
      </c>
      <c r="O263" s="28">
        <v>959</v>
      </c>
      <c r="P263" s="29">
        <v>176560</v>
      </c>
      <c r="Q263" s="30">
        <v>366446</v>
      </c>
      <c r="R263" s="30">
        <v>352570</v>
      </c>
      <c r="S263" s="30">
        <v>408382</v>
      </c>
      <c r="T263" s="30">
        <v>378515</v>
      </c>
      <c r="U263" s="30">
        <v>378145</v>
      </c>
      <c r="V263" s="30">
        <v>344650</v>
      </c>
      <c r="W263" s="30">
        <v>257994</v>
      </c>
      <c r="X263" s="30">
        <v>116241</v>
      </c>
      <c r="Y263" s="30">
        <v>38463</v>
      </c>
      <c r="Z263" s="31">
        <v>2817966</v>
      </c>
      <c r="AA263" s="32">
        <f t="shared" si="18"/>
        <v>6.1169007702763928E-4</v>
      </c>
      <c r="AB263" s="32">
        <f t="shared" si="18"/>
        <v>1.1461443159428674E-4</v>
      </c>
      <c r="AC263" s="32">
        <f t="shared" si="18"/>
        <v>1.6167002297416116E-4</v>
      </c>
      <c r="AD263" s="32">
        <f t="shared" si="18"/>
        <v>1.3957520164943607E-4</v>
      </c>
      <c r="AE263" s="32">
        <f t="shared" si="18"/>
        <v>1.0567612908339168E-4</v>
      </c>
      <c r="AF263" s="32">
        <f t="shared" si="17"/>
        <v>1.5602480529955441E-4</v>
      </c>
      <c r="AG263" s="32">
        <f t="shared" si="17"/>
        <v>2.6403597852894242E-4</v>
      </c>
      <c r="AH263" s="32">
        <f t="shared" si="17"/>
        <v>6.2016946130530163E-4</v>
      </c>
      <c r="AI263" s="32">
        <f t="shared" si="17"/>
        <v>1.1269689696406604E-3</v>
      </c>
      <c r="AJ263" s="32">
        <f t="shared" si="17"/>
        <v>3.9258508176689289E-3</v>
      </c>
      <c r="AK263" s="33">
        <f t="shared" si="20"/>
        <v>3.4031638422890836E-4</v>
      </c>
    </row>
    <row r="264" spans="1:37" x14ac:dyDescent="0.3">
      <c r="A264" t="s">
        <v>68</v>
      </c>
      <c r="B264" s="1">
        <v>2009</v>
      </c>
      <c r="C264" s="1" t="str">
        <f t="shared" si="19"/>
        <v>New Hampshire, 2009</v>
      </c>
      <c r="D264" s="27">
        <v>104</v>
      </c>
      <c r="E264" s="27">
        <v>56</v>
      </c>
      <c r="F264" s="27">
        <v>46</v>
      </c>
      <c r="G264" s="27">
        <v>65</v>
      </c>
      <c r="H264" s="27">
        <v>46</v>
      </c>
      <c r="I264" s="27">
        <v>49</v>
      </c>
      <c r="J264" s="27">
        <v>60</v>
      </c>
      <c r="K264" s="27">
        <v>55</v>
      </c>
      <c r="L264" s="27">
        <v>35</v>
      </c>
      <c r="M264" s="27">
        <v>79</v>
      </c>
      <c r="N264" s="27">
        <v>61</v>
      </c>
      <c r="O264" s="28">
        <v>656</v>
      </c>
      <c r="P264" s="29">
        <v>75863.43299999999</v>
      </c>
      <c r="Q264" s="30">
        <v>165634.94400000002</v>
      </c>
      <c r="R264" s="30">
        <v>184752.06599999999</v>
      </c>
      <c r="S264" s="30">
        <v>148506.95500000002</v>
      </c>
      <c r="T264" s="30">
        <v>197501.076</v>
      </c>
      <c r="U264" s="30">
        <v>217261.481</v>
      </c>
      <c r="V264" s="30">
        <v>157433.073</v>
      </c>
      <c r="W264" s="30">
        <v>87886.143999999986</v>
      </c>
      <c r="X264" s="30">
        <v>57525.013999999996</v>
      </c>
      <c r="Y264" s="30">
        <v>23766.960000000003</v>
      </c>
      <c r="Z264" s="31">
        <v>1315419</v>
      </c>
      <c r="AA264" s="32">
        <f t="shared" si="18"/>
        <v>1.3708844417836985E-3</v>
      </c>
      <c r="AB264" s="32">
        <f t="shared" si="18"/>
        <v>3.3809290870409565E-4</v>
      </c>
      <c r="AC264" s="32">
        <f t="shared" si="18"/>
        <v>2.4898233073074267E-4</v>
      </c>
      <c r="AD264" s="32">
        <f t="shared" si="18"/>
        <v>4.3768993849479973E-4</v>
      </c>
      <c r="AE264" s="32">
        <f t="shared" si="18"/>
        <v>2.3291012348712471E-4</v>
      </c>
      <c r="AF264" s="32">
        <f t="shared" si="17"/>
        <v>2.2553468647302464E-4</v>
      </c>
      <c r="AG264" s="32">
        <f t="shared" si="17"/>
        <v>3.811143291346412E-4</v>
      </c>
      <c r="AH264" s="32">
        <f t="shared" si="17"/>
        <v>6.258096839474492E-4</v>
      </c>
      <c r="AI264" s="32">
        <f t="shared" si="17"/>
        <v>6.0843096883035966E-4</v>
      </c>
      <c r="AJ264" s="32">
        <f t="shared" si="17"/>
        <v>3.3239421448935831E-3</v>
      </c>
      <c r="AK264" s="33">
        <f t="shared" si="20"/>
        <v>4.9870041408859082E-4</v>
      </c>
    </row>
    <row r="265" spans="1:37" x14ac:dyDescent="0.3">
      <c r="A265" t="s">
        <v>68</v>
      </c>
      <c r="B265" s="1">
        <v>2010</v>
      </c>
      <c r="C265" s="1" t="str">
        <f t="shared" si="19"/>
        <v>New Hampshire, 2010</v>
      </c>
      <c r="D265" s="27">
        <v>123</v>
      </c>
      <c r="E265" s="27">
        <v>56</v>
      </c>
      <c r="F265" s="27">
        <v>49</v>
      </c>
      <c r="G265" s="27">
        <v>75</v>
      </c>
      <c r="H265" s="27">
        <v>44</v>
      </c>
      <c r="I265" s="27">
        <v>60</v>
      </c>
      <c r="J265" s="27">
        <v>63</v>
      </c>
      <c r="K265" s="27">
        <v>46</v>
      </c>
      <c r="L265" s="27">
        <v>53</v>
      </c>
      <c r="M265" s="27">
        <v>96</v>
      </c>
      <c r="N265" s="27">
        <v>63</v>
      </c>
      <c r="O265" s="28">
        <v>728</v>
      </c>
      <c r="P265" s="29">
        <v>72299.672999999995</v>
      </c>
      <c r="Q265" s="30">
        <v>166228.61099999998</v>
      </c>
      <c r="R265" s="30">
        <v>179679.99300000002</v>
      </c>
      <c r="S265" s="30">
        <v>144228.57900000003</v>
      </c>
      <c r="T265" s="30">
        <v>192146.20799999998</v>
      </c>
      <c r="U265" s="30">
        <v>221676.63199999998</v>
      </c>
      <c r="V265" s="30">
        <v>166817.65400000004</v>
      </c>
      <c r="W265" s="30">
        <v>90483.390000000029</v>
      </c>
      <c r="X265" s="30">
        <v>56783.514000000003</v>
      </c>
      <c r="Y265" s="30">
        <v>23051.814000000002</v>
      </c>
      <c r="Z265" s="31">
        <v>1313939</v>
      </c>
      <c r="AA265" s="32">
        <f t="shared" si="18"/>
        <v>1.701252507739558E-3</v>
      </c>
      <c r="AB265" s="32">
        <f t="shared" si="18"/>
        <v>3.3688544747570567E-4</v>
      </c>
      <c r="AC265" s="32">
        <f t="shared" si="18"/>
        <v>2.7270704535256742E-4</v>
      </c>
      <c r="AD265" s="32">
        <f t="shared" si="18"/>
        <v>5.2000789663191505E-4</v>
      </c>
      <c r="AE265" s="32">
        <f t="shared" si="18"/>
        <v>2.2899228903856383E-4</v>
      </c>
      <c r="AF265" s="32">
        <f t="shared" si="17"/>
        <v>2.7066452362917533E-4</v>
      </c>
      <c r="AG265" s="32">
        <f t="shared" si="17"/>
        <v>3.7765787067117003E-4</v>
      </c>
      <c r="AH265" s="32">
        <f t="shared" si="17"/>
        <v>5.0838059891434207E-4</v>
      </c>
      <c r="AI265" s="32">
        <f t="shared" si="17"/>
        <v>9.3336949875979841E-4</v>
      </c>
      <c r="AJ265" s="32">
        <f t="shared" si="17"/>
        <v>4.1645312598826275E-3</v>
      </c>
      <c r="AK265" s="33">
        <f t="shared" si="20"/>
        <v>5.5405920670594292E-4</v>
      </c>
    </row>
    <row r="266" spans="1:37" x14ac:dyDescent="0.3">
      <c r="A266" t="s">
        <v>68</v>
      </c>
      <c r="B266" s="1">
        <v>2011</v>
      </c>
      <c r="C266" s="1" t="str">
        <f t="shared" si="19"/>
        <v>New Hampshire, 2011</v>
      </c>
      <c r="D266" s="27">
        <v>99</v>
      </c>
      <c r="E266" s="27">
        <v>54</v>
      </c>
      <c r="F266" s="27">
        <v>54</v>
      </c>
      <c r="G266" s="27">
        <v>60</v>
      </c>
      <c r="H266" s="27">
        <v>48</v>
      </c>
      <c r="I266" s="27">
        <v>44</v>
      </c>
      <c r="J266" s="27">
        <v>63</v>
      </c>
      <c r="K266" s="27">
        <v>65</v>
      </c>
      <c r="L266" s="27">
        <v>59</v>
      </c>
      <c r="M266" s="27">
        <v>115</v>
      </c>
      <c r="N266" s="27">
        <v>34</v>
      </c>
      <c r="O266" s="28">
        <v>695</v>
      </c>
      <c r="P266" s="29">
        <v>69428.031999999992</v>
      </c>
      <c r="Q266" s="30">
        <v>159135.935</v>
      </c>
      <c r="R266" s="30">
        <v>169481.34499999997</v>
      </c>
      <c r="S266" s="30">
        <v>139287.40599999999</v>
      </c>
      <c r="T266" s="30">
        <v>178594.62999999998</v>
      </c>
      <c r="U266" s="30">
        <v>212652.25200000001</v>
      </c>
      <c r="V266" s="30">
        <v>162787.13200000001</v>
      </c>
      <c r="W266" s="30">
        <v>88909.623000000007</v>
      </c>
      <c r="X266" s="30">
        <v>53997.485000000001</v>
      </c>
      <c r="Y266" s="30">
        <v>21840.059000000005</v>
      </c>
      <c r="Z266" s="31">
        <v>1255618</v>
      </c>
      <c r="AA266" s="32">
        <f t="shared" si="18"/>
        <v>1.4259370048109675E-3</v>
      </c>
      <c r="AB266" s="32">
        <f t="shared" si="18"/>
        <v>3.393325335349304E-4</v>
      </c>
      <c r="AC266" s="32">
        <f t="shared" si="18"/>
        <v>3.1861913769919641E-4</v>
      </c>
      <c r="AD266" s="32">
        <f t="shared" si="18"/>
        <v>4.3076399886433382E-4</v>
      </c>
      <c r="AE266" s="32">
        <f t="shared" si="18"/>
        <v>2.6876507989069998E-4</v>
      </c>
      <c r="AF266" s="32">
        <f t="shared" si="17"/>
        <v>2.069105762397475E-4</v>
      </c>
      <c r="AG266" s="32">
        <f t="shared" si="17"/>
        <v>3.8700847681252836E-4</v>
      </c>
      <c r="AH266" s="32">
        <f t="shared" si="17"/>
        <v>7.3107946931683641E-4</v>
      </c>
      <c r="AI266" s="32">
        <f t="shared" si="17"/>
        <v>1.0926434814510343E-3</v>
      </c>
      <c r="AJ266" s="32">
        <f t="shared" si="17"/>
        <v>5.2655535408581075E-3</v>
      </c>
      <c r="AK266" s="33">
        <f t="shared" si="20"/>
        <v>5.5351229434429897E-4</v>
      </c>
    </row>
    <row r="267" spans="1:37" x14ac:dyDescent="0.3">
      <c r="A267" t="s">
        <v>68</v>
      </c>
      <c r="B267" s="1">
        <v>2012</v>
      </c>
      <c r="C267" s="1" t="str">
        <f t="shared" si="19"/>
        <v>New Hampshire, 2012</v>
      </c>
      <c r="D267" s="27">
        <v>124</v>
      </c>
      <c r="E267" s="27">
        <v>50</v>
      </c>
      <c r="F267" s="27">
        <v>32</v>
      </c>
      <c r="G267" s="27">
        <v>61</v>
      </c>
      <c r="H267" s="27">
        <v>52</v>
      </c>
      <c r="I267" s="27">
        <v>43</v>
      </c>
      <c r="J267" s="27">
        <v>60</v>
      </c>
      <c r="K267" s="27">
        <v>45</v>
      </c>
      <c r="L267" s="27">
        <v>59</v>
      </c>
      <c r="M267" s="27">
        <v>109</v>
      </c>
      <c r="N267" s="27">
        <v>39</v>
      </c>
      <c r="O267" s="28">
        <v>674</v>
      </c>
      <c r="P267" s="29">
        <v>69384.82699999999</v>
      </c>
      <c r="Q267" s="30">
        <v>161671.59400000001</v>
      </c>
      <c r="R267" s="30">
        <v>178786.35499999998</v>
      </c>
      <c r="S267" s="30">
        <v>145685.83500000002</v>
      </c>
      <c r="T267" s="30">
        <v>179323.076</v>
      </c>
      <c r="U267" s="30">
        <v>223223.81800000003</v>
      </c>
      <c r="V267" s="30">
        <v>179230.81899999999</v>
      </c>
      <c r="W267" s="30">
        <v>99044.56299999998</v>
      </c>
      <c r="X267" s="30">
        <v>57766.875000000007</v>
      </c>
      <c r="Y267" s="30">
        <v>24345.947</v>
      </c>
      <c r="Z267" s="31">
        <v>1317474</v>
      </c>
      <c r="AA267" s="32">
        <f t="shared" si="18"/>
        <v>1.7871342390174154E-3</v>
      </c>
      <c r="AB267" s="32">
        <f t="shared" si="18"/>
        <v>3.0926892450877918E-4</v>
      </c>
      <c r="AC267" s="32">
        <f t="shared" si="18"/>
        <v>1.7898457631176608E-4</v>
      </c>
      <c r="AD267" s="32">
        <f t="shared" si="18"/>
        <v>4.1870920395246382E-4</v>
      </c>
      <c r="AE267" s="32">
        <f t="shared" si="18"/>
        <v>2.8997941123874097E-4</v>
      </c>
      <c r="AF267" s="32">
        <f t="shared" si="17"/>
        <v>1.9263177372945029E-4</v>
      </c>
      <c r="AG267" s="32">
        <f t="shared" si="17"/>
        <v>3.3476385553982211E-4</v>
      </c>
      <c r="AH267" s="32">
        <f t="shared" si="17"/>
        <v>4.5434094146086556E-4</v>
      </c>
      <c r="AI267" s="32">
        <f t="shared" si="17"/>
        <v>1.0213465762169062E-3</v>
      </c>
      <c r="AJ267" s="32">
        <f t="shared" si="17"/>
        <v>4.4771312448844153E-3</v>
      </c>
      <c r="AK267" s="33">
        <f t="shared" si="20"/>
        <v>5.1158504835769052E-4</v>
      </c>
    </row>
    <row r="268" spans="1:37" x14ac:dyDescent="0.3">
      <c r="A268" t="s">
        <v>68</v>
      </c>
      <c r="B268" s="1">
        <v>2013</v>
      </c>
      <c r="C268" s="1" t="str">
        <f t="shared" si="19"/>
        <v>New Hampshire, 2013</v>
      </c>
      <c r="D268" s="27">
        <v>113</v>
      </c>
      <c r="E268" s="27">
        <v>61</v>
      </c>
      <c r="F268" s="27">
        <v>51</v>
      </c>
      <c r="G268" s="27">
        <v>59</v>
      </c>
      <c r="H268" s="27">
        <v>68</v>
      </c>
      <c r="I268" s="27">
        <v>77</v>
      </c>
      <c r="J268" s="27">
        <v>55</v>
      </c>
      <c r="K268" s="27">
        <v>65</v>
      </c>
      <c r="L268" s="27">
        <v>62</v>
      </c>
      <c r="M268" s="27">
        <v>103</v>
      </c>
      <c r="N268" s="27">
        <v>53</v>
      </c>
      <c r="O268" s="28">
        <v>767</v>
      </c>
      <c r="P268" s="29">
        <v>68047.467999999993</v>
      </c>
      <c r="Q268" s="30">
        <v>159088.83499999999</v>
      </c>
      <c r="R268" s="30">
        <v>178920.85900000003</v>
      </c>
      <c r="S268" s="30">
        <v>147078.234</v>
      </c>
      <c r="T268" s="30">
        <v>172304.95500000002</v>
      </c>
      <c r="U268" s="30">
        <v>221963.51199999996</v>
      </c>
      <c r="V268" s="30">
        <v>184648.23199999996</v>
      </c>
      <c r="W268" s="30">
        <v>104007.094</v>
      </c>
      <c r="X268" s="30">
        <v>57908.991000000002</v>
      </c>
      <c r="Y268" s="30">
        <v>24943.477000000003</v>
      </c>
      <c r="Z268" s="31">
        <v>1319171</v>
      </c>
      <c r="AA268" s="32">
        <f t="shared" si="18"/>
        <v>1.6606055055567977E-3</v>
      </c>
      <c r="AB268" s="32">
        <f t="shared" si="18"/>
        <v>3.8343357030680376E-4</v>
      </c>
      <c r="AC268" s="32">
        <f t="shared" si="18"/>
        <v>2.8504222640692771E-4</v>
      </c>
      <c r="AD268" s="32">
        <f t="shared" si="18"/>
        <v>4.0114705211921435E-4</v>
      </c>
      <c r="AE268" s="32">
        <f t="shared" si="18"/>
        <v>3.9464912660230807E-4</v>
      </c>
      <c r="AF268" s="32">
        <f t="shared" si="17"/>
        <v>3.4690386409095929E-4</v>
      </c>
      <c r="AG268" s="32">
        <f t="shared" si="17"/>
        <v>2.9786366976966241E-4</v>
      </c>
      <c r="AH268" s="32">
        <f t="shared" si="17"/>
        <v>6.2495737069627195E-4</v>
      </c>
      <c r="AI268" s="32">
        <f t="shared" si="17"/>
        <v>1.0706454892298158E-3</v>
      </c>
      <c r="AJ268" s="32">
        <f t="shared" si="17"/>
        <v>4.129336098571983E-3</v>
      </c>
      <c r="AK268" s="33">
        <f t="shared" si="20"/>
        <v>5.8142575905625578E-4</v>
      </c>
    </row>
    <row r="269" spans="1:37" x14ac:dyDescent="0.3">
      <c r="A269" t="s">
        <v>68</v>
      </c>
      <c r="B269" s="1">
        <v>2014</v>
      </c>
      <c r="C269" s="1" t="str">
        <f t="shared" si="19"/>
        <v>New Hampshire, 2014</v>
      </c>
      <c r="D269" s="27">
        <v>123</v>
      </c>
      <c r="E269" s="27">
        <v>51</v>
      </c>
      <c r="F269" s="27">
        <v>58</v>
      </c>
      <c r="G269" s="27">
        <v>62</v>
      </c>
      <c r="H269" s="27">
        <v>44</v>
      </c>
      <c r="I269" s="27">
        <v>70</v>
      </c>
      <c r="J269" s="27">
        <v>52</v>
      </c>
      <c r="K269" s="27">
        <v>65</v>
      </c>
      <c r="L269" s="27">
        <v>50</v>
      </c>
      <c r="M269" s="27">
        <v>88</v>
      </c>
      <c r="N269" s="27">
        <v>35</v>
      </c>
      <c r="O269" s="28">
        <v>698</v>
      </c>
      <c r="P269" s="29">
        <v>64619.513000000006</v>
      </c>
      <c r="Q269" s="30">
        <v>151333.09699999998</v>
      </c>
      <c r="R269" s="30">
        <v>174621.723</v>
      </c>
      <c r="S269" s="30">
        <v>144657.85</v>
      </c>
      <c r="T269" s="30">
        <v>162287.33700000003</v>
      </c>
      <c r="U269" s="30">
        <v>211505.092</v>
      </c>
      <c r="V269" s="30">
        <v>182791.454</v>
      </c>
      <c r="W269" s="30">
        <v>105526.042</v>
      </c>
      <c r="X269" s="30">
        <v>56334.345999999998</v>
      </c>
      <c r="Y269" s="30">
        <v>24367.115000000002</v>
      </c>
      <c r="Z269" s="31">
        <v>1277778</v>
      </c>
      <c r="AA269" s="32">
        <f t="shared" si="18"/>
        <v>1.9034498139903961E-3</v>
      </c>
      <c r="AB269" s="32">
        <f t="shared" si="18"/>
        <v>3.3700493157818613E-4</v>
      </c>
      <c r="AC269" s="32">
        <f t="shared" si="18"/>
        <v>3.3214653368183751E-4</v>
      </c>
      <c r="AD269" s="32">
        <f t="shared" si="18"/>
        <v>4.2859754932069013E-4</v>
      </c>
      <c r="AE269" s="32">
        <f t="shared" si="18"/>
        <v>2.7112404956155015E-4</v>
      </c>
      <c r="AF269" s="32">
        <f t="shared" si="17"/>
        <v>3.3096129903104174E-4</v>
      </c>
      <c r="AG269" s="32">
        <f t="shared" si="17"/>
        <v>2.8447719443163902E-4</v>
      </c>
      <c r="AH269" s="32">
        <f t="shared" si="17"/>
        <v>6.1596169787169689E-4</v>
      </c>
      <c r="AI269" s="32">
        <f t="shared" si="17"/>
        <v>8.8755800946016138E-4</v>
      </c>
      <c r="AJ269" s="32">
        <f t="shared" si="17"/>
        <v>3.61142465983355E-3</v>
      </c>
      <c r="AK269" s="33">
        <f t="shared" si="20"/>
        <v>5.462607745633436E-4</v>
      </c>
    </row>
    <row r="270" spans="1:37" x14ac:dyDescent="0.3">
      <c r="A270" t="s">
        <v>68</v>
      </c>
      <c r="B270" s="1">
        <v>2015</v>
      </c>
      <c r="C270" s="1" t="str">
        <f t="shared" si="19"/>
        <v>New Hampshire, 2015</v>
      </c>
      <c r="D270" s="27">
        <v>109</v>
      </c>
      <c r="E270" s="27">
        <v>49</v>
      </c>
      <c r="F270" s="27">
        <v>59</v>
      </c>
      <c r="G270" s="27">
        <v>61</v>
      </c>
      <c r="H270" s="27">
        <v>43</v>
      </c>
      <c r="I270" s="27">
        <v>57</v>
      </c>
      <c r="J270" s="27">
        <v>47</v>
      </c>
      <c r="K270" s="27">
        <v>62</v>
      </c>
      <c r="L270" s="27">
        <v>64</v>
      </c>
      <c r="M270" s="27">
        <v>152</v>
      </c>
      <c r="N270" s="27">
        <v>47</v>
      </c>
      <c r="O270" s="28">
        <v>750</v>
      </c>
      <c r="P270" s="29">
        <v>62585.561000000009</v>
      </c>
      <c r="Q270" s="30">
        <v>146657.34100000001</v>
      </c>
      <c r="R270" s="30">
        <v>171239.77600000001</v>
      </c>
      <c r="S270" s="30">
        <v>144131.30300000001</v>
      </c>
      <c r="T270" s="30">
        <v>154145.52100000001</v>
      </c>
      <c r="U270" s="30">
        <v>201829.31700000001</v>
      </c>
      <c r="V270" s="30">
        <v>180085.924</v>
      </c>
      <c r="W270" s="30">
        <v>105753.231</v>
      </c>
      <c r="X270" s="30">
        <v>54450.631000000001</v>
      </c>
      <c r="Y270" s="30">
        <v>23990.132000000001</v>
      </c>
      <c r="Z270" s="31">
        <v>1244818</v>
      </c>
      <c r="AA270" s="32">
        <f t="shared" si="18"/>
        <v>1.7416157698099085E-3</v>
      </c>
      <c r="AB270" s="32">
        <f t="shared" si="18"/>
        <v>3.3411215330843888E-4</v>
      </c>
      <c r="AC270" s="32">
        <f t="shared" si="18"/>
        <v>3.4454611760295688E-4</v>
      </c>
      <c r="AD270" s="32">
        <f t="shared" si="18"/>
        <v>4.2322520320238829E-4</v>
      </c>
      <c r="AE270" s="32">
        <f t="shared" si="18"/>
        <v>2.7895718098743845E-4</v>
      </c>
      <c r="AF270" s="32">
        <f t="shared" si="17"/>
        <v>2.8241685027354077E-4</v>
      </c>
      <c r="AG270" s="32">
        <f t="shared" si="17"/>
        <v>2.6098652774216821E-4</v>
      </c>
      <c r="AH270" s="32">
        <f t="shared" si="17"/>
        <v>5.8627050364068781E-4</v>
      </c>
      <c r="AI270" s="32">
        <f t="shared" si="17"/>
        <v>1.1753766453138073E-3</v>
      </c>
      <c r="AJ270" s="32">
        <f t="shared" si="17"/>
        <v>6.3359384600301487E-3</v>
      </c>
      <c r="AK270" s="33">
        <f t="shared" si="20"/>
        <v>6.0249771452533627E-4</v>
      </c>
    </row>
    <row r="271" spans="1:37" x14ac:dyDescent="0.3">
      <c r="A271" t="s">
        <v>68</v>
      </c>
      <c r="B271" s="1">
        <v>2016</v>
      </c>
      <c r="C271" s="1" t="str">
        <f t="shared" si="19"/>
        <v>New Hampshire, 2016</v>
      </c>
      <c r="D271" s="27">
        <v>116</v>
      </c>
      <c r="E271" s="27">
        <v>37</v>
      </c>
      <c r="F271" s="27">
        <v>47</v>
      </c>
      <c r="G271" s="27">
        <v>63</v>
      </c>
      <c r="H271" s="27">
        <v>49</v>
      </c>
      <c r="I271" s="27">
        <v>49</v>
      </c>
      <c r="J271" s="27">
        <v>45</v>
      </c>
      <c r="K271" s="27">
        <v>44</v>
      </c>
      <c r="L271" s="27">
        <v>55</v>
      </c>
      <c r="M271" s="27">
        <v>80</v>
      </c>
      <c r="N271" s="27">
        <v>61</v>
      </c>
      <c r="O271" s="28">
        <v>646</v>
      </c>
      <c r="P271" s="29">
        <v>64868.707000000002</v>
      </c>
      <c r="Q271" s="30">
        <v>151531.22199999998</v>
      </c>
      <c r="R271" s="30">
        <v>178849.23400000003</v>
      </c>
      <c r="S271" s="30">
        <v>154721.16699999999</v>
      </c>
      <c r="T271" s="30">
        <v>158882.97700000001</v>
      </c>
      <c r="U271" s="30">
        <v>209898.07700000002</v>
      </c>
      <c r="V271" s="30">
        <v>197882.35100000002</v>
      </c>
      <c r="W271" s="30">
        <v>123489.546</v>
      </c>
      <c r="X271" s="30">
        <v>59862.113000000005</v>
      </c>
      <c r="Y271" s="30">
        <v>27162.325000000001</v>
      </c>
      <c r="Z271" s="31">
        <v>1327503</v>
      </c>
      <c r="AA271" s="32">
        <f t="shared" si="18"/>
        <v>1.7882274114080924E-3</v>
      </c>
      <c r="AB271" s="32">
        <f t="shared" si="18"/>
        <v>2.4417410162507635E-4</v>
      </c>
      <c r="AC271" s="32">
        <f t="shared" si="18"/>
        <v>2.6279117303907489E-4</v>
      </c>
      <c r="AD271" s="32">
        <f t="shared" si="18"/>
        <v>4.0718410558524296E-4</v>
      </c>
      <c r="AE271" s="32">
        <f t="shared" si="18"/>
        <v>3.0840308335864069E-4</v>
      </c>
      <c r="AF271" s="32">
        <f t="shared" si="17"/>
        <v>2.3344663610234026E-4</v>
      </c>
      <c r="AG271" s="32">
        <f t="shared" si="17"/>
        <v>2.27407850031052E-4</v>
      </c>
      <c r="AH271" s="32">
        <f t="shared" si="17"/>
        <v>3.5630546410786868E-4</v>
      </c>
      <c r="AI271" s="32">
        <f t="shared" si="17"/>
        <v>9.1877812599097523E-4</v>
      </c>
      <c r="AJ271" s="32">
        <f t="shared" si="17"/>
        <v>2.9452559749579611E-3</v>
      </c>
      <c r="AK271" s="33">
        <f t="shared" si="20"/>
        <v>4.8662790215916649E-4</v>
      </c>
    </row>
    <row r="272" spans="1:37" x14ac:dyDescent="0.3">
      <c r="A272" t="s">
        <v>68</v>
      </c>
      <c r="B272" s="1">
        <v>2017</v>
      </c>
      <c r="C272" s="1" t="str">
        <f t="shared" si="19"/>
        <v>New Hampshire, 2017</v>
      </c>
      <c r="D272" s="27">
        <v>108</v>
      </c>
      <c r="E272" s="27">
        <v>66</v>
      </c>
      <c r="F272" s="27">
        <v>64</v>
      </c>
      <c r="G272" s="27">
        <v>63</v>
      </c>
      <c r="H272" s="27">
        <v>64</v>
      </c>
      <c r="I272" s="27">
        <v>68</v>
      </c>
      <c r="J272" s="27">
        <v>35</v>
      </c>
      <c r="K272" s="27">
        <v>60</v>
      </c>
      <c r="L272" s="27">
        <v>66</v>
      </c>
      <c r="M272" s="27">
        <v>117</v>
      </c>
      <c r="N272" s="27">
        <v>49</v>
      </c>
      <c r="O272" s="28">
        <v>760</v>
      </c>
      <c r="P272" s="29">
        <v>64233</v>
      </c>
      <c r="Q272" s="30">
        <v>149568</v>
      </c>
      <c r="R272" s="30">
        <v>178576</v>
      </c>
      <c r="S272" s="30">
        <v>156374</v>
      </c>
      <c r="T272" s="30">
        <v>156530</v>
      </c>
      <c r="U272" s="30">
        <v>205335</v>
      </c>
      <c r="V272" s="30">
        <v>201939</v>
      </c>
      <c r="W272" s="30">
        <v>129717</v>
      </c>
      <c r="X272" s="30">
        <v>61133</v>
      </c>
      <c r="Y272" s="30">
        <v>28443</v>
      </c>
      <c r="Z272" s="31">
        <v>1331848</v>
      </c>
      <c r="AA272" s="32">
        <f t="shared" si="18"/>
        <v>1.6813787305590584E-3</v>
      </c>
      <c r="AB272" s="32">
        <f t="shared" si="18"/>
        <v>4.4127086007702182E-4</v>
      </c>
      <c r="AC272" s="32">
        <f t="shared" si="18"/>
        <v>3.5839082519487499E-4</v>
      </c>
      <c r="AD272" s="32">
        <f t="shared" si="18"/>
        <v>4.0288027421438345E-4</v>
      </c>
      <c r="AE272" s="32">
        <f t="shared" si="18"/>
        <v>4.0886730978087265E-4</v>
      </c>
      <c r="AF272" s="32">
        <f t="shared" si="17"/>
        <v>3.3116614313195511E-4</v>
      </c>
      <c r="AG272" s="32">
        <f t="shared" si="17"/>
        <v>1.7331966583968426E-4</v>
      </c>
      <c r="AH272" s="32">
        <f t="shared" si="17"/>
        <v>4.625453872661255E-4</v>
      </c>
      <c r="AI272" s="32">
        <f t="shared" si="17"/>
        <v>1.0796133021445046E-3</v>
      </c>
      <c r="AJ272" s="32">
        <f t="shared" si="17"/>
        <v>4.1134901381710788E-3</v>
      </c>
      <c r="AK272" s="33">
        <f t="shared" si="20"/>
        <v>5.7063568815660646E-4</v>
      </c>
    </row>
    <row r="273" spans="1:37" x14ac:dyDescent="0.3">
      <c r="A273" t="s">
        <v>69</v>
      </c>
      <c r="B273" s="1">
        <v>2009</v>
      </c>
      <c r="C273" s="1" t="str">
        <f t="shared" si="19"/>
        <v>New Jersey, 2009</v>
      </c>
      <c r="D273" s="27">
        <v>109</v>
      </c>
      <c r="E273" s="27">
        <v>52</v>
      </c>
      <c r="F273" s="27">
        <v>49</v>
      </c>
      <c r="G273" s="27">
        <v>69</v>
      </c>
      <c r="H273" s="27">
        <v>35</v>
      </c>
      <c r="I273" s="27">
        <v>72</v>
      </c>
      <c r="J273" s="27">
        <v>86</v>
      </c>
      <c r="K273" s="27">
        <v>134</v>
      </c>
      <c r="L273" s="27">
        <v>363</v>
      </c>
      <c r="M273" s="27">
        <v>605</v>
      </c>
      <c r="N273" s="27">
        <v>57</v>
      </c>
      <c r="O273" s="28">
        <v>1631</v>
      </c>
      <c r="P273" s="29">
        <v>561478.07100000011</v>
      </c>
      <c r="Q273" s="30">
        <v>1146089.3670000001</v>
      </c>
      <c r="R273" s="30">
        <v>1100047.173</v>
      </c>
      <c r="S273" s="30">
        <v>1103869.0340000002</v>
      </c>
      <c r="T273" s="30">
        <v>1315711.2049999998</v>
      </c>
      <c r="U273" s="30">
        <v>1329099.5839999998</v>
      </c>
      <c r="V273" s="30">
        <v>953247.45</v>
      </c>
      <c r="W273" s="30">
        <v>577340.72400000016</v>
      </c>
      <c r="X273" s="30">
        <v>402428.85099999997</v>
      </c>
      <c r="Y273" s="30">
        <v>161651.43399999998</v>
      </c>
      <c r="Z273" s="31">
        <v>8650548</v>
      </c>
      <c r="AA273" s="32">
        <f t="shared" si="18"/>
        <v>1.9413046676225397E-4</v>
      </c>
      <c r="AB273" s="32">
        <f t="shared" si="18"/>
        <v>4.5371679990466221E-5</v>
      </c>
      <c r="AC273" s="32">
        <f t="shared" si="18"/>
        <v>4.4543544315803629E-5</v>
      </c>
      <c r="AD273" s="32">
        <f t="shared" si="18"/>
        <v>6.250741516860051E-5</v>
      </c>
      <c r="AE273" s="32">
        <f t="shared" si="18"/>
        <v>2.6601582373846245E-5</v>
      </c>
      <c r="AF273" s="32">
        <f t="shared" si="17"/>
        <v>5.4172013043079856E-5</v>
      </c>
      <c r="AG273" s="32">
        <f t="shared" si="17"/>
        <v>9.02179177085656E-5</v>
      </c>
      <c r="AH273" s="32">
        <f t="shared" si="17"/>
        <v>2.3209864544389901E-4</v>
      </c>
      <c r="AI273" s="32">
        <f t="shared" si="17"/>
        <v>9.0202280253509962E-4</v>
      </c>
      <c r="AJ273" s="32">
        <f t="shared" si="17"/>
        <v>3.7426206809894435E-3</v>
      </c>
      <c r="AK273" s="33">
        <f t="shared" si="20"/>
        <v>1.8854296860730673E-4</v>
      </c>
    </row>
    <row r="274" spans="1:37" x14ac:dyDescent="0.3">
      <c r="A274" t="s">
        <v>69</v>
      </c>
      <c r="B274" s="1">
        <v>2010</v>
      </c>
      <c r="C274" s="1" t="str">
        <f t="shared" si="19"/>
        <v>New Jersey, 2010</v>
      </c>
      <c r="D274" s="27">
        <v>117</v>
      </c>
      <c r="E274" s="27">
        <v>56</v>
      </c>
      <c r="F274" s="27">
        <v>55</v>
      </c>
      <c r="G274" s="27">
        <v>61</v>
      </c>
      <c r="H274" s="27">
        <v>49</v>
      </c>
      <c r="I274" s="27">
        <v>55</v>
      </c>
      <c r="J274" s="27">
        <v>57</v>
      </c>
      <c r="K274" s="27">
        <v>104</v>
      </c>
      <c r="L274" s="27">
        <v>286</v>
      </c>
      <c r="M274" s="27">
        <v>546</v>
      </c>
      <c r="N274" s="27">
        <v>56</v>
      </c>
      <c r="O274" s="28">
        <v>1442</v>
      </c>
      <c r="P274" s="29">
        <v>547056.55200000003</v>
      </c>
      <c r="Q274" s="30">
        <v>1156223.9809999999</v>
      </c>
      <c r="R274" s="30">
        <v>1127535.173</v>
      </c>
      <c r="S274" s="30">
        <v>1096904.2930000001</v>
      </c>
      <c r="T274" s="30">
        <v>1294285.4619999998</v>
      </c>
      <c r="U274" s="30">
        <v>1350560.2340000004</v>
      </c>
      <c r="V274" s="30">
        <v>993147.88700000034</v>
      </c>
      <c r="W274" s="30">
        <v>586230.98399999994</v>
      </c>
      <c r="X274" s="30">
        <v>402941.603</v>
      </c>
      <c r="Y274" s="30">
        <v>166413.69899999999</v>
      </c>
      <c r="Z274" s="31">
        <v>8721577</v>
      </c>
      <c r="AA274" s="32">
        <f t="shared" si="18"/>
        <v>2.1387185579307348E-4</v>
      </c>
      <c r="AB274" s="32">
        <f t="shared" si="18"/>
        <v>4.8433522328058344E-5</v>
      </c>
      <c r="AC274" s="32">
        <f t="shared" si="18"/>
        <v>4.8778966117449889E-5</v>
      </c>
      <c r="AD274" s="32">
        <f t="shared" si="18"/>
        <v>5.5611050471109788E-5</v>
      </c>
      <c r="AE274" s="32">
        <f t="shared" si="18"/>
        <v>3.7858727026325822E-5</v>
      </c>
      <c r="AF274" s="32">
        <f t="shared" si="17"/>
        <v>4.0723840829449438E-5</v>
      </c>
      <c r="AG274" s="32">
        <f t="shared" si="17"/>
        <v>5.7393265138165652E-5</v>
      </c>
      <c r="AH274" s="32">
        <f t="shared" si="17"/>
        <v>1.7740447509338744E-4</v>
      </c>
      <c r="AI274" s="32">
        <f t="shared" si="17"/>
        <v>7.0978027056689899E-4</v>
      </c>
      <c r="AJ274" s="32">
        <f t="shared" si="17"/>
        <v>3.280979890964385E-3</v>
      </c>
      <c r="AK274" s="33">
        <f t="shared" si="20"/>
        <v>1.6533707149521239E-4</v>
      </c>
    </row>
    <row r="275" spans="1:37" x14ac:dyDescent="0.3">
      <c r="A275" t="s">
        <v>69</v>
      </c>
      <c r="B275" s="1">
        <v>2011</v>
      </c>
      <c r="C275" s="1" t="str">
        <f t="shared" si="19"/>
        <v>New Jersey, 2011</v>
      </c>
      <c r="D275" s="27">
        <v>108</v>
      </c>
      <c r="E275" s="27">
        <v>58</v>
      </c>
      <c r="F275" s="27">
        <v>59</v>
      </c>
      <c r="G275" s="27">
        <v>52</v>
      </c>
      <c r="H275" s="27">
        <v>61</v>
      </c>
      <c r="I275" s="27">
        <v>67</v>
      </c>
      <c r="J275" s="27">
        <v>78</v>
      </c>
      <c r="K275" s="27">
        <v>121</v>
      </c>
      <c r="L275" s="27">
        <v>292</v>
      </c>
      <c r="M275" s="27">
        <v>603</v>
      </c>
      <c r="N275" s="27">
        <v>35</v>
      </c>
      <c r="O275" s="28">
        <v>1534</v>
      </c>
      <c r="P275" s="29">
        <v>543388.18300000008</v>
      </c>
      <c r="Q275" s="30">
        <v>1150384.0800000003</v>
      </c>
      <c r="R275" s="30">
        <v>1131399.8459999999</v>
      </c>
      <c r="S275" s="30">
        <v>1103400.0019999999</v>
      </c>
      <c r="T275" s="30">
        <v>1265709.344</v>
      </c>
      <c r="U275" s="30">
        <v>1361404.7469999997</v>
      </c>
      <c r="V275" s="30">
        <v>1021105.956</v>
      </c>
      <c r="W275" s="30">
        <v>600153.15600000008</v>
      </c>
      <c r="X275" s="30">
        <v>400734.31099999999</v>
      </c>
      <c r="Y275" s="30">
        <v>172153.21099999998</v>
      </c>
      <c r="Z275" s="31">
        <v>8753064</v>
      </c>
      <c r="AA275" s="32">
        <f t="shared" si="18"/>
        <v>1.9875294196451082E-4</v>
      </c>
      <c r="AB275" s="32">
        <f t="shared" si="18"/>
        <v>5.0417943892269428E-5</v>
      </c>
      <c r="AC275" s="32">
        <f t="shared" si="18"/>
        <v>5.2147788607706779E-5</v>
      </c>
      <c r="AD275" s="32">
        <f t="shared" si="18"/>
        <v>4.7127061723532614E-5</v>
      </c>
      <c r="AE275" s="32">
        <f t="shared" si="18"/>
        <v>4.8194319090054848E-5</v>
      </c>
      <c r="AF275" s="32">
        <f t="shared" si="17"/>
        <v>4.9213872764614368E-5</v>
      </c>
      <c r="AG275" s="32">
        <f t="shared" si="17"/>
        <v>7.6387763230322393E-5</v>
      </c>
      <c r="AH275" s="32">
        <f t="shared" si="17"/>
        <v>2.0161520237010964E-4</v>
      </c>
      <c r="AI275" s="32">
        <f t="shared" si="17"/>
        <v>7.286623380746652E-4</v>
      </c>
      <c r="AJ275" s="32">
        <f t="shared" si="17"/>
        <v>3.502693888178479E-3</v>
      </c>
      <c r="AK275" s="33">
        <f t="shared" si="20"/>
        <v>1.7525291714992603E-4</v>
      </c>
    </row>
    <row r="276" spans="1:37" x14ac:dyDescent="0.3">
      <c r="A276" t="s">
        <v>69</v>
      </c>
      <c r="B276" s="1">
        <v>2012</v>
      </c>
      <c r="C276" s="1" t="str">
        <f t="shared" si="19"/>
        <v>New Jersey, 2012</v>
      </c>
      <c r="D276" s="27">
        <v>100</v>
      </c>
      <c r="E276" s="27">
        <v>51</v>
      </c>
      <c r="F276" s="27">
        <v>56</v>
      </c>
      <c r="G276" s="27">
        <v>50</v>
      </c>
      <c r="H276" s="27">
        <v>59</v>
      </c>
      <c r="I276" s="27">
        <v>63</v>
      </c>
      <c r="J276" s="27">
        <v>59</v>
      </c>
      <c r="K276" s="27">
        <v>114</v>
      </c>
      <c r="L276" s="27">
        <v>283</v>
      </c>
      <c r="M276" s="27">
        <v>571</v>
      </c>
      <c r="N276" s="27">
        <v>53</v>
      </c>
      <c r="O276" s="28">
        <v>1459</v>
      </c>
      <c r="P276" s="29">
        <v>538329.97499999998</v>
      </c>
      <c r="Q276" s="30">
        <v>1149042.6030000001</v>
      </c>
      <c r="R276" s="30">
        <v>1137600.6180000002</v>
      </c>
      <c r="S276" s="30">
        <v>1113213.6040000003</v>
      </c>
      <c r="T276" s="30">
        <v>1242357.8949999998</v>
      </c>
      <c r="U276" s="30">
        <v>1366570.034</v>
      </c>
      <c r="V276" s="30">
        <v>1050462.6259999999</v>
      </c>
      <c r="W276" s="30">
        <v>622646.61100000003</v>
      </c>
      <c r="X276" s="30">
        <v>397869.21799999994</v>
      </c>
      <c r="Y276" s="30">
        <v>177893.38400000002</v>
      </c>
      <c r="Z276" s="31">
        <v>8793888</v>
      </c>
      <c r="AA276" s="32">
        <f t="shared" si="18"/>
        <v>1.8575967277319083E-4</v>
      </c>
      <c r="AB276" s="32">
        <f t="shared" si="18"/>
        <v>4.4384777263128155E-5</v>
      </c>
      <c r="AC276" s="32">
        <f t="shared" si="18"/>
        <v>4.9226414889306951E-5</v>
      </c>
      <c r="AD276" s="32">
        <f t="shared" si="18"/>
        <v>4.4915009860048378E-5</v>
      </c>
      <c r="AE276" s="32">
        <f t="shared" si="18"/>
        <v>4.7490340937544419E-5</v>
      </c>
      <c r="AF276" s="32">
        <f t="shared" si="17"/>
        <v>4.6100820618462352E-5</v>
      </c>
      <c r="AG276" s="32">
        <f t="shared" si="17"/>
        <v>5.6165729783898096E-5</v>
      </c>
      <c r="AH276" s="32">
        <f t="shared" si="17"/>
        <v>1.8308940896170716E-4</v>
      </c>
      <c r="AI276" s="32">
        <f t="shared" si="17"/>
        <v>7.1128900451906799E-4</v>
      </c>
      <c r="AJ276" s="32">
        <f t="shared" si="17"/>
        <v>3.2097877231904246E-3</v>
      </c>
      <c r="AK276" s="33">
        <f t="shared" si="20"/>
        <v>1.6591068705901189E-4</v>
      </c>
    </row>
    <row r="277" spans="1:37" x14ac:dyDescent="0.3">
      <c r="A277" t="s">
        <v>69</v>
      </c>
      <c r="B277" s="1">
        <v>2013</v>
      </c>
      <c r="C277" s="1" t="str">
        <f t="shared" si="19"/>
        <v>New Jersey, 2013</v>
      </c>
      <c r="D277" s="27">
        <v>113</v>
      </c>
      <c r="E277" s="27">
        <v>66</v>
      </c>
      <c r="F277" s="27">
        <v>66</v>
      </c>
      <c r="G277" s="27">
        <v>78</v>
      </c>
      <c r="H277" s="27">
        <v>45</v>
      </c>
      <c r="I277" s="27">
        <v>57</v>
      </c>
      <c r="J277" s="27">
        <v>94</v>
      </c>
      <c r="K277" s="27">
        <v>144</v>
      </c>
      <c r="L277" s="27">
        <v>334</v>
      </c>
      <c r="M277" s="27">
        <v>690</v>
      </c>
      <c r="N277" s="27">
        <v>81</v>
      </c>
      <c r="O277" s="28">
        <v>1768</v>
      </c>
      <c r="P277" s="29">
        <v>538319.11199999996</v>
      </c>
      <c r="Q277" s="30">
        <v>1142388.9810000001</v>
      </c>
      <c r="R277" s="30">
        <v>1143321.8849999998</v>
      </c>
      <c r="S277" s="30">
        <v>1122071.4100000001</v>
      </c>
      <c r="T277" s="30">
        <v>1216612.6679999998</v>
      </c>
      <c r="U277" s="30">
        <v>1369036.4140000001</v>
      </c>
      <c r="V277" s="30">
        <v>1078717.834</v>
      </c>
      <c r="W277" s="30">
        <v>643651.13800000015</v>
      </c>
      <c r="X277" s="30">
        <v>393734.27300000016</v>
      </c>
      <c r="Y277" s="30">
        <v>184432.49400000004</v>
      </c>
      <c r="Z277" s="31">
        <v>8832406</v>
      </c>
      <c r="AA277" s="32">
        <f t="shared" si="18"/>
        <v>2.0991266607677122E-4</v>
      </c>
      <c r="AB277" s="32">
        <f t="shared" si="18"/>
        <v>5.7773666498626699E-5</v>
      </c>
      <c r="AC277" s="32">
        <f t="shared" si="18"/>
        <v>5.7726525544466435E-5</v>
      </c>
      <c r="AD277" s="32">
        <f t="shared" si="18"/>
        <v>6.9514292321199052E-5</v>
      </c>
      <c r="AE277" s="32">
        <f t="shared" si="18"/>
        <v>3.6987942985975882E-5</v>
      </c>
      <c r="AF277" s="32">
        <f t="shared" si="17"/>
        <v>4.1635123373716188E-5</v>
      </c>
      <c r="AG277" s="32">
        <f t="shared" si="17"/>
        <v>8.714048941921915E-5</v>
      </c>
      <c r="AH277" s="32">
        <f t="shared" si="17"/>
        <v>2.2372367808972936E-4</v>
      </c>
      <c r="AI277" s="32">
        <f t="shared" si="17"/>
        <v>8.4828785021719426E-4</v>
      </c>
      <c r="AJ277" s="32">
        <f t="shared" si="17"/>
        <v>3.7412062540346054E-3</v>
      </c>
      <c r="AK277" s="33">
        <f t="shared" si="20"/>
        <v>2.0017195767495289E-4</v>
      </c>
    </row>
    <row r="278" spans="1:37" x14ac:dyDescent="0.3">
      <c r="A278" t="s">
        <v>69</v>
      </c>
      <c r="B278" s="1">
        <v>2014</v>
      </c>
      <c r="C278" s="1" t="str">
        <f t="shared" si="19"/>
        <v>New Jersey, 2014</v>
      </c>
      <c r="D278" s="27">
        <v>110</v>
      </c>
      <c r="E278" s="27">
        <v>54</v>
      </c>
      <c r="F278" s="27">
        <v>54</v>
      </c>
      <c r="G278" s="27">
        <v>55</v>
      </c>
      <c r="H278" s="27">
        <v>60</v>
      </c>
      <c r="I278" s="27">
        <v>53</v>
      </c>
      <c r="J278" s="27">
        <v>77</v>
      </c>
      <c r="K278" s="27">
        <v>127</v>
      </c>
      <c r="L278" s="27">
        <v>274</v>
      </c>
      <c r="M278" s="27">
        <v>633</v>
      </c>
      <c r="N278" s="27">
        <v>61</v>
      </c>
      <c r="O278" s="28">
        <v>1558</v>
      </c>
      <c r="P278" s="29">
        <v>536678.34100000001</v>
      </c>
      <c r="Q278" s="30">
        <v>1139360.4140000003</v>
      </c>
      <c r="R278" s="30">
        <v>1148660.9940000002</v>
      </c>
      <c r="S278" s="30">
        <v>1132698.93</v>
      </c>
      <c r="T278" s="30">
        <v>1201296.1939999999</v>
      </c>
      <c r="U278" s="30">
        <v>1364410.5430000001</v>
      </c>
      <c r="V278" s="30">
        <v>1107086.1979999996</v>
      </c>
      <c r="W278" s="30">
        <v>669593.62399999995</v>
      </c>
      <c r="X278" s="30">
        <v>389664.587</v>
      </c>
      <c r="Y278" s="30">
        <v>188698.62600000005</v>
      </c>
      <c r="Z278" s="31">
        <v>8874374</v>
      </c>
      <c r="AA278" s="32">
        <f t="shared" si="18"/>
        <v>2.0496448542163171E-4</v>
      </c>
      <c r="AB278" s="32">
        <f t="shared" si="18"/>
        <v>4.7395011566550692E-5</v>
      </c>
      <c r="AC278" s="32">
        <f t="shared" si="18"/>
        <v>4.7011259442139627E-5</v>
      </c>
      <c r="AD278" s="32">
        <f t="shared" si="18"/>
        <v>4.8556592174056353E-5</v>
      </c>
      <c r="AE278" s="32">
        <f t="shared" si="18"/>
        <v>4.9946050191182081E-5</v>
      </c>
      <c r="AF278" s="32">
        <f t="shared" si="17"/>
        <v>3.8844613354765025E-5</v>
      </c>
      <c r="AG278" s="32">
        <f t="shared" si="17"/>
        <v>6.9551946487187642E-5</v>
      </c>
      <c r="AH278" s="32">
        <f t="shared" si="17"/>
        <v>1.8966727795484507E-4</v>
      </c>
      <c r="AI278" s="32">
        <f t="shared" si="17"/>
        <v>7.0316885121510925E-4</v>
      </c>
      <c r="AJ278" s="32">
        <f t="shared" si="17"/>
        <v>3.3545554274465139E-3</v>
      </c>
      <c r="AK278" s="33">
        <f t="shared" si="20"/>
        <v>1.755616790547705E-4</v>
      </c>
    </row>
    <row r="279" spans="1:37" x14ac:dyDescent="0.3">
      <c r="A279" t="s">
        <v>69</v>
      </c>
      <c r="B279" s="1">
        <v>2015</v>
      </c>
      <c r="C279" s="1" t="str">
        <f t="shared" si="19"/>
        <v>New Jersey, 2015</v>
      </c>
      <c r="D279" s="27">
        <v>82</v>
      </c>
      <c r="E279" s="27">
        <v>83</v>
      </c>
      <c r="F279" s="27">
        <v>46</v>
      </c>
      <c r="G279" s="27">
        <v>55</v>
      </c>
      <c r="H279" s="27">
        <v>42</v>
      </c>
      <c r="I279" s="27">
        <v>50</v>
      </c>
      <c r="J279" s="27">
        <v>79</v>
      </c>
      <c r="K279" s="27">
        <v>151</v>
      </c>
      <c r="L279" s="27">
        <v>331</v>
      </c>
      <c r="M279" s="27">
        <v>754</v>
      </c>
      <c r="N279" s="27">
        <v>47</v>
      </c>
      <c r="O279" s="28">
        <v>1720</v>
      </c>
      <c r="P279" s="29">
        <v>532953.62</v>
      </c>
      <c r="Q279" s="30">
        <v>1130431.9390000002</v>
      </c>
      <c r="R279" s="30">
        <v>1147502.5780000002</v>
      </c>
      <c r="S279" s="30">
        <v>1140738.6950000003</v>
      </c>
      <c r="T279" s="30">
        <v>1188731.6530000002</v>
      </c>
      <c r="U279" s="30">
        <v>1352773.8669999996</v>
      </c>
      <c r="V279" s="30">
        <v>1131040.22</v>
      </c>
      <c r="W279" s="30">
        <v>699335.39600000007</v>
      </c>
      <c r="X279" s="30">
        <v>388815.15600000002</v>
      </c>
      <c r="Y279" s="30">
        <v>191618.64100000003</v>
      </c>
      <c r="Z279" s="31">
        <v>8904413</v>
      </c>
      <c r="AA279" s="32">
        <f t="shared" si="18"/>
        <v>1.538595422243309E-4</v>
      </c>
      <c r="AB279" s="32">
        <f t="shared" si="18"/>
        <v>7.3423261619291516E-5</v>
      </c>
      <c r="AC279" s="32">
        <f t="shared" si="18"/>
        <v>4.0087055908993341E-5</v>
      </c>
      <c r="AD279" s="32">
        <f t="shared" si="18"/>
        <v>4.8214372179248279E-5</v>
      </c>
      <c r="AE279" s="32">
        <f t="shared" si="18"/>
        <v>3.5331775589557718E-5</v>
      </c>
      <c r="AF279" s="32">
        <f t="shared" si="17"/>
        <v>3.69610924779936E-5</v>
      </c>
      <c r="AG279" s="32">
        <f t="shared" si="17"/>
        <v>6.9847206671394947E-5</v>
      </c>
      <c r="AH279" s="32">
        <f t="shared" si="17"/>
        <v>2.1591928688820435E-4</v>
      </c>
      <c r="AI279" s="32">
        <f t="shared" si="17"/>
        <v>8.5130426345828968E-4</v>
      </c>
      <c r="AJ279" s="32">
        <f t="shared" si="17"/>
        <v>3.9348990059897143E-3</v>
      </c>
      <c r="AK279" s="33">
        <f t="shared" si="20"/>
        <v>1.9316264867768376E-4</v>
      </c>
    </row>
    <row r="280" spans="1:37" x14ac:dyDescent="0.3">
      <c r="A280" t="s">
        <v>69</v>
      </c>
      <c r="B280" s="1">
        <v>2016</v>
      </c>
      <c r="C280" s="1" t="str">
        <f t="shared" si="19"/>
        <v>New Jersey, 2016</v>
      </c>
      <c r="D280" s="27">
        <v>93</v>
      </c>
      <c r="E280" s="27">
        <v>60</v>
      </c>
      <c r="F280" s="27">
        <v>57</v>
      </c>
      <c r="G280" s="27">
        <v>59</v>
      </c>
      <c r="H280" s="27">
        <v>55</v>
      </c>
      <c r="I280" s="27">
        <v>50</v>
      </c>
      <c r="J280" s="27">
        <v>102</v>
      </c>
      <c r="K280" s="27">
        <v>166</v>
      </c>
      <c r="L280" s="27">
        <v>281</v>
      </c>
      <c r="M280" s="27">
        <v>581</v>
      </c>
      <c r="N280" s="27">
        <v>41</v>
      </c>
      <c r="O280" s="28">
        <v>1545</v>
      </c>
      <c r="P280" s="29">
        <v>524747.13300000003</v>
      </c>
      <c r="Q280" s="30">
        <v>1116586.865</v>
      </c>
      <c r="R280" s="30">
        <v>1142048.6300000001</v>
      </c>
      <c r="S280" s="30">
        <v>1140935.7439999999</v>
      </c>
      <c r="T280" s="30">
        <v>1161364.8970000003</v>
      </c>
      <c r="U280" s="30">
        <v>1322254.4309999996</v>
      </c>
      <c r="V280" s="30">
        <v>1142373.9539999999</v>
      </c>
      <c r="W280" s="30">
        <v>720345.48700000008</v>
      </c>
      <c r="X280" s="30">
        <v>387963.21000000008</v>
      </c>
      <c r="Y280" s="30">
        <v>193387.77899999995</v>
      </c>
      <c r="Z280" s="31">
        <v>8850952</v>
      </c>
      <c r="AA280" s="32">
        <f t="shared" si="18"/>
        <v>1.7722821936789885E-4</v>
      </c>
      <c r="AB280" s="32">
        <f t="shared" si="18"/>
        <v>5.3735183424354542E-5</v>
      </c>
      <c r="AC280" s="32">
        <f t="shared" si="18"/>
        <v>4.9910308985704042E-5</v>
      </c>
      <c r="AD280" s="32">
        <f t="shared" si="18"/>
        <v>5.1711939353527695E-5</v>
      </c>
      <c r="AE280" s="32">
        <f t="shared" si="18"/>
        <v>4.7358069924512262E-5</v>
      </c>
      <c r="AF280" s="32">
        <f t="shared" si="17"/>
        <v>3.7814204912276838E-5</v>
      </c>
      <c r="AG280" s="32">
        <f t="shared" si="17"/>
        <v>8.9287749990140278E-5</v>
      </c>
      <c r="AH280" s="32">
        <f t="shared" si="17"/>
        <v>2.304449781331107E-4</v>
      </c>
      <c r="AI280" s="32">
        <f t="shared" si="17"/>
        <v>7.2429548152259059E-4</v>
      </c>
      <c r="AJ280" s="32">
        <f t="shared" si="17"/>
        <v>3.0043263488744041E-3</v>
      </c>
      <c r="AK280" s="33">
        <f t="shared" si="20"/>
        <v>1.7455749392833675E-4</v>
      </c>
    </row>
    <row r="281" spans="1:37" x14ac:dyDescent="0.3">
      <c r="A281" t="s">
        <v>69</v>
      </c>
      <c r="B281" s="1">
        <v>2017</v>
      </c>
      <c r="C281" s="1" t="str">
        <f t="shared" si="19"/>
        <v>New Jersey, 2017</v>
      </c>
      <c r="D281" s="27">
        <v>94</v>
      </c>
      <c r="E281" s="27">
        <v>53</v>
      </c>
      <c r="F281" s="27">
        <v>58</v>
      </c>
      <c r="G281" s="27">
        <v>47</v>
      </c>
      <c r="H281" s="27">
        <v>55</v>
      </c>
      <c r="I281" s="27">
        <v>45</v>
      </c>
      <c r="J281" s="27">
        <v>95</v>
      </c>
      <c r="K281" s="27">
        <v>135</v>
      </c>
      <c r="L281" s="27">
        <v>343</v>
      </c>
      <c r="M281" s="27">
        <v>650</v>
      </c>
      <c r="N281" s="27">
        <v>59</v>
      </c>
      <c r="O281" s="28">
        <v>1634</v>
      </c>
      <c r="P281" s="29">
        <v>526716</v>
      </c>
      <c r="Q281" s="30">
        <v>1119030</v>
      </c>
      <c r="R281" s="30">
        <v>1150716</v>
      </c>
      <c r="S281" s="30">
        <v>1151431</v>
      </c>
      <c r="T281" s="30">
        <v>1165156</v>
      </c>
      <c r="U281" s="30">
        <v>1317652</v>
      </c>
      <c r="V281" s="30">
        <v>1175461</v>
      </c>
      <c r="W281" s="30">
        <v>755476</v>
      </c>
      <c r="X281" s="30">
        <v>399788</v>
      </c>
      <c r="Y281" s="30">
        <v>198735</v>
      </c>
      <c r="Z281" s="31">
        <v>8960161</v>
      </c>
      <c r="AA281" s="32">
        <f t="shared" si="18"/>
        <v>1.7846429574951207E-4</v>
      </c>
      <c r="AB281" s="32">
        <f t="shared" si="18"/>
        <v>4.7362447834285048E-5</v>
      </c>
      <c r="AC281" s="32">
        <f t="shared" si="18"/>
        <v>5.0403401012934554E-5</v>
      </c>
      <c r="AD281" s="32">
        <f t="shared" si="18"/>
        <v>4.0818772466608942E-5</v>
      </c>
      <c r="AE281" s="32">
        <f t="shared" si="18"/>
        <v>4.7203979552952568E-5</v>
      </c>
      <c r="AF281" s="32">
        <f t="shared" si="17"/>
        <v>3.4151657645569545E-5</v>
      </c>
      <c r="AG281" s="32">
        <f t="shared" si="17"/>
        <v>8.0819355129604475E-5</v>
      </c>
      <c r="AH281" s="32">
        <f t="shared" si="17"/>
        <v>1.7869528615071823E-4</v>
      </c>
      <c r="AI281" s="32">
        <f t="shared" si="17"/>
        <v>8.5795471599947972E-4</v>
      </c>
      <c r="AJ281" s="32">
        <f t="shared" si="17"/>
        <v>3.2706870958814503E-3</v>
      </c>
      <c r="AK281" s="33">
        <f t="shared" si="20"/>
        <v>1.8236279459710601E-4</v>
      </c>
    </row>
    <row r="282" spans="1:37" x14ac:dyDescent="0.3">
      <c r="A282" t="s">
        <v>70</v>
      </c>
      <c r="B282" s="1">
        <v>2009</v>
      </c>
      <c r="C282" s="1" t="str">
        <f t="shared" si="19"/>
        <v>New Mexico, 2009</v>
      </c>
      <c r="D282" s="27">
        <v>117</v>
      </c>
      <c r="E282" s="27">
        <v>48</v>
      </c>
      <c r="F282" s="27">
        <v>62</v>
      </c>
      <c r="G282" s="27">
        <v>44</v>
      </c>
      <c r="H282" s="27">
        <v>55</v>
      </c>
      <c r="I282" s="27">
        <v>59</v>
      </c>
      <c r="J282" s="27">
        <v>58</v>
      </c>
      <c r="K282" s="27">
        <v>53</v>
      </c>
      <c r="L282" s="27">
        <v>40</v>
      </c>
      <c r="M282" s="27">
        <v>123</v>
      </c>
      <c r="N282" s="27">
        <v>51</v>
      </c>
      <c r="O282" s="28">
        <v>710</v>
      </c>
      <c r="P282" s="29">
        <v>145687.71499999994</v>
      </c>
      <c r="Q282" s="30">
        <v>271598.29399999999</v>
      </c>
      <c r="R282" s="30">
        <v>289012.26299999998</v>
      </c>
      <c r="S282" s="30">
        <v>263018.15699999995</v>
      </c>
      <c r="T282" s="30">
        <v>254305.32799999998</v>
      </c>
      <c r="U282" s="30">
        <v>275628.86100000009</v>
      </c>
      <c r="V282" s="30">
        <v>218002.09599999999</v>
      </c>
      <c r="W282" s="30">
        <v>132610.07300000003</v>
      </c>
      <c r="X282" s="30">
        <v>84982.487000000023</v>
      </c>
      <c r="Y282" s="30">
        <v>31077.452000000001</v>
      </c>
      <c r="Z282" s="31">
        <v>1964860</v>
      </c>
      <c r="AA282" s="32">
        <f t="shared" si="18"/>
        <v>8.0308761792303519E-4</v>
      </c>
      <c r="AB282" s="32">
        <f t="shared" si="18"/>
        <v>1.7673159611230843E-4</v>
      </c>
      <c r="AC282" s="32">
        <f t="shared" si="18"/>
        <v>2.1452376918691511E-4</v>
      </c>
      <c r="AD282" s="32">
        <f t="shared" si="18"/>
        <v>1.6728883093801013E-4</v>
      </c>
      <c r="AE282" s="32">
        <f t="shared" si="18"/>
        <v>2.162754529468608E-4</v>
      </c>
      <c r="AF282" s="32">
        <f t="shared" si="17"/>
        <v>2.1405595838528674E-4</v>
      </c>
      <c r="AG282" s="32">
        <f t="shared" si="17"/>
        <v>2.6605248786231854E-4</v>
      </c>
      <c r="AH282" s="32">
        <f t="shared" si="17"/>
        <v>3.9966797997313512E-4</v>
      </c>
      <c r="AI282" s="32">
        <f t="shared" si="17"/>
        <v>4.7068521306042725E-4</v>
      </c>
      <c r="AJ282" s="32">
        <f t="shared" si="17"/>
        <v>3.9578534301975589E-3</v>
      </c>
      <c r="AK282" s="33">
        <f t="shared" si="20"/>
        <v>3.6134890017609398E-4</v>
      </c>
    </row>
    <row r="283" spans="1:37" x14ac:dyDescent="0.3">
      <c r="A283" t="s">
        <v>70</v>
      </c>
      <c r="B283" s="1">
        <v>2010</v>
      </c>
      <c r="C283" s="1" t="str">
        <f t="shared" si="19"/>
        <v>New Mexico, 2010</v>
      </c>
      <c r="D283" s="27">
        <v>103</v>
      </c>
      <c r="E283" s="27">
        <v>34</v>
      </c>
      <c r="F283" s="27">
        <v>41</v>
      </c>
      <c r="G283" s="27">
        <v>41</v>
      </c>
      <c r="H283" s="27">
        <v>64</v>
      </c>
      <c r="I283" s="27">
        <v>62</v>
      </c>
      <c r="J283" s="27">
        <v>52</v>
      </c>
      <c r="K283" s="27">
        <v>51</v>
      </c>
      <c r="L283" s="27">
        <v>72</v>
      </c>
      <c r="M283" s="27">
        <v>126</v>
      </c>
      <c r="N283" s="27">
        <v>49</v>
      </c>
      <c r="O283" s="28">
        <v>695</v>
      </c>
      <c r="P283" s="29">
        <v>140915.538</v>
      </c>
      <c r="Q283" s="30">
        <v>272927.36900000001</v>
      </c>
      <c r="R283" s="30">
        <v>293812.88800000004</v>
      </c>
      <c r="S283" s="30">
        <v>254440.09700000007</v>
      </c>
      <c r="T283" s="30">
        <v>249428.87000000005</v>
      </c>
      <c r="U283" s="30">
        <v>281554.36899999995</v>
      </c>
      <c r="V283" s="30">
        <v>232544.62899999996</v>
      </c>
      <c r="W283" s="30">
        <v>140596.46300000002</v>
      </c>
      <c r="X283" s="30">
        <v>82199.146999999997</v>
      </c>
      <c r="Y283" s="30">
        <v>29583.757000000001</v>
      </c>
      <c r="Z283" s="31">
        <v>1978918</v>
      </c>
      <c r="AA283" s="32">
        <f t="shared" si="18"/>
        <v>7.3093429909766236E-4</v>
      </c>
      <c r="AB283" s="32">
        <f t="shared" si="18"/>
        <v>1.2457526749543393E-4</v>
      </c>
      <c r="AC283" s="32">
        <f t="shared" si="18"/>
        <v>1.3954459342845434E-4</v>
      </c>
      <c r="AD283" s="32">
        <f t="shared" si="18"/>
        <v>1.6113812438925453E-4</v>
      </c>
      <c r="AE283" s="32">
        <f t="shared" si="18"/>
        <v>2.5658617625136973E-4</v>
      </c>
      <c r="AF283" s="32">
        <f t="shared" si="17"/>
        <v>2.2020613716706351E-4</v>
      </c>
      <c r="AG283" s="32">
        <f t="shared" si="17"/>
        <v>2.2361299086378817E-4</v>
      </c>
      <c r="AH283" s="32">
        <f t="shared" si="17"/>
        <v>3.6274027747056477E-4</v>
      </c>
      <c r="AI283" s="32">
        <f t="shared" si="17"/>
        <v>8.7592149830946541E-4</v>
      </c>
      <c r="AJ283" s="32">
        <f t="shared" si="17"/>
        <v>4.259093934553343E-3</v>
      </c>
      <c r="AK283" s="33">
        <f t="shared" si="20"/>
        <v>3.5120202049807015E-4</v>
      </c>
    </row>
    <row r="284" spans="1:37" x14ac:dyDescent="0.3">
      <c r="A284" t="s">
        <v>70</v>
      </c>
      <c r="B284" s="1">
        <v>2011</v>
      </c>
      <c r="C284" s="1" t="str">
        <f t="shared" si="19"/>
        <v>New Mexico, 2011</v>
      </c>
      <c r="D284" s="27">
        <v>110</v>
      </c>
      <c r="E284" s="27">
        <v>46</v>
      </c>
      <c r="F284" s="27">
        <v>62</v>
      </c>
      <c r="G284" s="27">
        <v>50</v>
      </c>
      <c r="H284" s="27">
        <v>49</v>
      </c>
      <c r="I284" s="27">
        <v>46</v>
      </c>
      <c r="J284" s="27">
        <v>57</v>
      </c>
      <c r="K284" s="27">
        <v>62</v>
      </c>
      <c r="L284" s="27">
        <v>88</v>
      </c>
      <c r="M284" s="27">
        <v>154</v>
      </c>
      <c r="N284" s="27">
        <v>51</v>
      </c>
      <c r="O284" s="28">
        <v>775</v>
      </c>
      <c r="P284" s="29">
        <v>142660.66700000002</v>
      </c>
      <c r="Q284" s="30">
        <v>278326.51899999997</v>
      </c>
      <c r="R284" s="30">
        <v>288995.21600000001</v>
      </c>
      <c r="S284" s="30">
        <v>258167.663</v>
      </c>
      <c r="T284" s="30">
        <v>247390.51800000004</v>
      </c>
      <c r="U284" s="30">
        <v>284736.70499999996</v>
      </c>
      <c r="V284" s="30">
        <v>244188.416</v>
      </c>
      <c r="W284" s="30">
        <v>145805.10099999997</v>
      </c>
      <c r="X284" s="30">
        <v>82249.374000000011</v>
      </c>
      <c r="Y284" s="30">
        <v>30365.834999999999</v>
      </c>
      <c r="Z284" s="31">
        <v>2004554</v>
      </c>
      <c r="AA284" s="32">
        <f t="shared" si="18"/>
        <v>7.7106046335813068E-4</v>
      </c>
      <c r="AB284" s="32">
        <f t="shared" si="18"/>
        <v>1.6527350740875684E-4</v>
      </c>
      <c r="AC284" s="32">
        <f t="shared" si="18"/>
        <v>2.1453642332958204E-4</v>
      </c>
      <c r="AD284" s="32">
        <f t="shared" si="18"/>
        <v>1.9367259020352211E-4</v>
      </c>
      <c r="AE284" s="32">
        <f t="shared" si="18"/>
        <v>1.9806741340021766E-4</v>
      </c>
      <c r="AF284" s="32">
        <f t="shared" ref="AF284:AJ347" si="21">I284/U284</f>
        <v>1.6155275801200272E-4</v>
      </c>
      <c r="AG284" s="32">
        <f t="shared" si="21"/>
        <v>2.3342630634861893E-4</v>
      </c>
      <c r="AH284" s="32">
        <f t="shared" si="21"/>
        <v>4.2522517782145368E-4</v>
      </c>
      <c r="AI284" s="32">
        <f t="shared" si="21"/>
        <v>1.0699169576658418E-3</v>
      </c>
      <c r="AJ284" s="32">
        <f t="shared" si="21"/>
        <v>5.07148905999127E-3</v>
      </c>
      <c r="AK284" s="33">
        <f t="shared" si="20"/>
        <v>3.8661966701819956E-4</v>
      </c>
    </row>
    <row r="285" spans="1:37" x14ac:dyDescent="0.3">
      <c r="A285" t="s">
        <v>70</v>
      </c>
      <c r="B285" s="1">
        <v>2012</v>
      </c>
      <c r="C285" s="1" t="str">
        <f t="shared" si="19"/>
        <v>New Mexico, 2012</v>
      </c>
      <c r="D285" s="27">
        <v>116</v>
      </c>
      <c r="E285" s="27">
        <v>56</v>
      </c>
      <c r="F285" s="27">
        <v>65</v>
      </c>
      <c r="G285" s="27">
        <v>55</v>
      </c>
      <c r="H285" s="27">
        <v>48</v>
      </c>
      <c r="I285" s="27">
        <v>49</v>
      </c>
      <c r="J285" s="27">
        <v>61</v>
      </c>
      <c r="K285" s="27">
        <v>50</v>
      </c>
      <c r="L285" s="27">
        <v>46</v>
      </c>
      <c r="M285" s="27">
        <v>112</v>
      </c>
      <c r="N285" s="27">
        <v>56</v>
      </c>
      <c r="O285" s="28">
        <v>714</v>
      </c>
      <c r="P285" s="29">
        <v>140863.432</v>
      </c>
      <c r="Q285" s="30">
        <v>277583.70500000002</v>
      </c>
      <c r="R285" s="30">
        <v>287008.96799999999</v>
      </c>
      <c r="S285" s="30">
        <v>262903.82299999997</v>
      </c>
      <c r="T285" s="30">
        <v>244991.23599999995</v>
      </c>
      <c r="U285" s="30">
        <v>279330.39799999999</v>
      </c>
      <c r="V285" s="30">
        <v>247244.63500000001</v>
      </c>
      <c r="W285" s="30">
        <v>147977.67399999997</v>
      </c>
      <c r="X285" s="30">
        <v>82326.624999999985</v>
      </c>
      <c r="Y285" s="30">
        <v>31483.980999999992</v>
      </c>
      <c r="Z285" s="31">
        <v>2000606</v>
      </c>
      <c r="AA285" s="32">
        <f t="shared" ref="AA285:AE348" si="22">D285/P285</f>
        <v>8.2349264356983717E-4</v>
      </c>
      <c r="AB285" s="32">
        <f t="shared" si="22"/>
        <v>2.017409487347249E-4</v>
      </c>
      <c r="AC285" s="32">
        <f t="shared" si="22"/>
        <v>2.2647375952377906E-4</v>
      </c>
      <c r="AD285" s="32">
        <f t="shared" si="22"/>
        <v>2.0920197877837633E-4</v>
      </c>
      <c r="AE285" s="32">
        <f t="shared" si="22"/>
        <v>1.9592537587752735E-4</v>
      </c>
      <c r="AF285" s="32">
        <f t="shared" si="21"/>
        <v>1.75419504467967E-4</v>
      </c>
      <c r="AG285" s="32">
        <f t="shared" si="21"/>
        <v>2.4671920585860236E-4</v>
      </c>
      <c r="AH285" s="32">
        <f t="shared" si="21"/>
        <v>3.3788880882125509E-4</v>
      </c>
      <c r="AI285" s="32">
        <f t="shared" si="21"/>
        <v>5.5874997912279303E-4</v>
      </c>
      <c r="AJ285" s="32">
        <f t="shared" si="21"/>
        <v>3.5573646166283746E-3</v>
      </c>
      <c r="AK285" s="33">
        <f t="shared" si="20"/>
        <v>3.5689186176588491E-4</v>
      </c>
    </row>
    <row r="286" spans="1:37" x14ac:dyDescent="0.3">
      <c r="A286" t="s">
        <v>70</v>
      </c>
      <c r="B286" s="1">
        <v>2013</v>
      </c>
      <c r="C286" s="1" t="str">
        <f t="shared" si="19"/>
        <v>New Mexico, 2013</v>
      </c>
      <c r="D286" s="27">
        <v>108</v>
      </c>
      <c r="E286" s="27">
        <v>60</v>
      </c>
      <c r="F286" s="27">
        <v>39</v>
      </c>
      <c r="G286" s="27">
        <v>57</v>
      </c>
      <c r="H286" s="27">
        <v>67</v>
      </c>
      <c r="I286" s="27">
        <v>51</v>
      </c>
      <c r="J286" s="27">
        <v>47</v>
      </c>
      <c r="K286" s="27">
        <v>62</v>
      </c>
      <c r="L286" s="27">
        <v>84</v>
      </c>
      <c r="M286" s="27">
        <v>136</v>
      </c>
      <c r="N286" s="27">
        <v>63</v>
      </c>
      <c r="O286" s="28">
        <v>774</v>
      </c>
      <c r="P286" s="29">
        <v>138266.35199999998</v>
      </c>
      <c r="Q286" s="30">
        <v>277628.57099999994</v>
      </c>
      <c r="R286" s="30">
        <v>284642.11400000006</v>
      </c>
      <c r="S286" s="30">
        <v>265289.61300000001</v>
      </c>
      <c r="T286" s="30">
        <v>242983.19399999996</v>
      </c>
      <c r="U286" s="30">
        <v>275394.74999999994</v>
      </c>
      <c r="V286" s="30">
        <v>252979.99200000006</v>
      </c>
      <c r="W286" s="30">
        <v>155930.84400000001</v>
      </c>
      <c r="X286" s="30">
        <v>85137.782000000007</v>
      </c>
      <c r="Y286" s="30">
        <v>32649.188999999995</v>
      </c>
      <c r="Z286" s="31">
        <v>2011033</v>
      </c>
      <c r="AA286" s="32">
        <f t="shared" si="22"/>
        <v>7.8110110260231648E-4</v>
      </c>
      <c r="AB286" s="32">
        <f t="shared" si="22"/>
        <v>2.1611608554510052E-4</v>
      </c>
      <c r="AC286" s="32">
        <f t="shared" si="22"/>
        <v>1.3701415947184819E-4</v>
      </c>
      <c r="AD286" s="32">
        <f t="shared" si="22"/>
        <v>2.1485952410809237E-4</v>
      </c>
      <c r="AE286" s="32">
        <f t="shared" si="22"/>
        <v>2.7573923487070475E-4</v>
      </c>
      <c r="AF286" s="32">
        <f t="shared" si="21"/>
        <v>1.8518871547115552E-4</v>
      </c>
      <c r="AG286" s="32">
        <f t="shared" si="21"/>
        <v>1.8578544345910166E-4</v>
      </c>
      <c r="AH286" s="32">
        <f t="shared" si="21"/>
        <v>3.9761216196585196E-4</v>
      </c>
      <c r="AI286" s="32">
        <f t="shared" si="21"/>
        <v>9.8663599199706655E-4</v>
      </c>
      <c r="AJ286" s="32">
        <f t="shared" si="21"/>
        <v>4.1654939729130801E-3</v>
      </c>
      <c r="AK286" s="33">
        <f t="shared" si="20"/>
        <v>3.8487682698394306E-4</v>
      </c>
    </row>
    <row r="287" spans="1:37" x14ac:dyDescent="0.3">
      <c r="A287" t="s">
        <v>70</v>
      </c>
      <c r="B287" s="1">
        <v>2014</v>
      </c>
      <c r="C287" s="1" t="str">
        <f t="shared" si="19"/>
        <v>New Mexico, 2014</v>
      </c>
      <c r="D287" s="27">
        <v>108</v>
      </c>
      <c r="E287" s="27">
        <v>47</v>
      </c>
      <c r="F287" s="27">
        <v>56</v>
      </c>
      <c r="G287" s="27">
        <v>39</v>
      </c>
      <c r="H287" s="27">
        <v>47</v>
      </c>
      <c r="I287" s="27">
        <v>48</v>
      </c>
      <c r="J287" s="27">
        <v>59</v>
      </c>
      <c r="K287" s="27">
        <v>58</v>
      </c>
      <c r="L287" s="27">
        <v>65</v>
      </c>
      <c r="M287" s="27">
        <v>114</v>
      </c>
      <c r="N287" s="27">
        <v>67</v>
      </c>
      <c r="O287" s="28">
        <v>708</v>
      </c>
      <c r="P287" s="29">
        <v>133554.39500000002</v>
      </c>
      <c r="Q287" s="30">
        <v>273955.80000000005</v>
      </c>
      <c r="R287" s="30">
        <v>281613.62999999995</v>
      </c>
      <c r="S287" s="30">
        <v>262095.92099999997</v>
      </c>
      <c r="T287" s="30">
        <v>236108.663</v>
      </c>
      <c r="U287" s="30">
        <v>264768.80699999991</v>
      </c>
      <c r="V287" s="30">
        <v>253231.44699999999</v>
      </c>
      <c r="W287" s="30">
        <v>161095.48800000001</v>
      </c>
      <c r="X287" s="30">
        <v>86707.218999999997</v>
      </c>
      <c r="Y287" s="30">
        <v>31756.337999999996</v>
      </c>
      <c r="Z287" s="31">
        <v>1983190</v>
      </c>
      <c r="AA287" s="32">
        <f t="shared" si="22"/>
        <v>8.0865927324967472E-4</v>
      </c>
      <c r="AB287" s="32">
        <f t="shared" si="22"/>
        <v>1.7156052180680237E-4</v>
      </c>
      <c r="AC287" s="32">
        <f t="shared" si="22"/>
        <v>1.9885401143403467E-4</v>
      </c>
      <c r="AD287" s="32">
        <f t="shared" si="22"/>
        <v>1.4880048438449374E-4</v>
      </c>
      <c r="AE287" s="32">
        <f t="shared" si="22"/>
        <v>1.9906088748636894E-4</v>
      </c>
      <c r="AF287" s="32">
        <f t="shared" si="21"/>
        <v>1.8129023786400946E-4</v>
      </c>
      <c r="AG287" s="32">
        <f t="shared" si="21"/>
        <v>2.3298844080766953E-4</v>
      </c>
      <c r="AH287" s="32">
        <f t="shared" si="21"/>
        <v>3.6003491295795941E-4</v>
      </c>
      <c r="AI287" s="32">
        <f t="shared" si="21"/>
        <v>7.4964923047526183E-4</v>
      </c>
      <c r="AJ287" s="32">
        <f t="shared" si="21"/>
        <v>3.5898345709760369E-3</v>
      </c>
      <c r="AK287" s="33">
        <f t="shared" si="20"/>
        <v>3.5700058995860205E-4</v>
      </c>
    </row>
    <row r="288" spans="1:37" x14ac:dyDescent="0.3">
      <c r="A288" t="s">
        <v>70</v>
      </c>
      <c r="B288" s="1">
        <v>2015</v>
      </c>
      <c r="C288" s="1" t="str">
        <f t="shared" si="19"/>
        <v>New Mexico, 2015</v>
      </c>
      <c r="D288" s="27">
        <v>122</v>
      </c>
      <c r="E288" s="27">
        <v>64</v>
      </c>
      <c r="F288" s="27">
        <v>66</v>
      </c>
      <c r="G288" s="27">
        <v>58</v>
      </c>
      <c r="H288" s="27">
        <v>48</v>
      </c>
      <c r="I288" s="27">
        <v>43</v>
      </c>
      <c r="J288" s="27">
        <v>50</v>
      </c>
      <c r="K288" s="27">
        <v>69</v>
      </c>
      <c r="L288" s="27">
        <v>58</v>
      </c>
      <c r="M288" s="27">
        <v>100</v>
      </c>
      <c r="N288" s="27">
        <v>48</v>
      </c>
      <c r="O288" s="28">
        <v>726</v>
      </c>
      <c r="P288" s="29">
        <v>128774.43699999998</v>
      </c>
      <c r="Q288" s="30">
        <v>266281.07400000002</v>
      </c>
      <c r="R288" s="30">
        <v>272575.81599999999</v>
      </c>
      <c r="S288" s="30">
        <v>260683.22099999999</v>
      </c>
      <c r="T288" s="30">
        <v>229148.47799999997</v>
      </c>
      <c r="U288" s="30">
        <v>252433.32999999996</v>
      </c>
      <c r="V288" s="30">
        <v>248135.28899999999</v>
      </c>
      <c r="W288" s="30">
        <v>163625.01399999997</v>
      </c>
      <c r="X288" s="30">
        <v>85489.934999999998</v>
      </c>
      <c r="Y288" s="30">
        <v>31939.522000000004</v>
      </c>
      <c r="Z288" s="31">
        <v>1938740</v>
      </c>
      <c r="AA288" s="32">
        <f t="shared" si="22"/>
        <v>9.4739299850326675E-4</v>
      </c>
      <c r="AB288" s="32">
        <f t="shared" si="22"/>
        <v>2.4034753592739377E-4</v>
      </c>
      <c r="AC288" s="32">
        <f t="shared" si="22"/>
        <v>2.4213446727790408E-4</v>
      </c>
      <c r="AD288" s="32">
        <f t="shared" si="22"/>
        <v>2.2249226389603341E-4</v>
      </c>
      <c r="AE288" s="32">
        <f t="shared" si="22"/>
        <v>2.0947117091478132E-4</v>
      </c>
      <c r="AF288" s="32">
        <f t="shared" si="21"/>
        <v>1.7034200673896751E-4</v>
      </c>
      <c r="AG288" s="32">
        <f t="shared" si="21"/>
        <v>2.0150297928804478E-4</v>
      </c>
      <c r="AH288" s="32">
        <f t="shared" si="21"/>
        <v>4.2169591502678197E-4</v>
      </c>
      <c r="AI288" s="32">
        <f t="shared" si="21"/>
        <v>6.7844243886721874E-4</v>
      </c>
      <c r="AJ288" s="32">
        <f t="shared" si="21"/>
        <v>3.1309172378972982E-3</v>
      </c>
      <c r="AK288" s="33">
        <f t="shared" si="20"/>
        <v>3.7447001660872526E-4</v>
      </c>
    </row>
    <row r="289" spans="1:37" x14ac:dyDescent="0.3">
      <c r="A289" t="s">
        <v>70</v>
      </c>
      <c r="B289" s="1">
        <v>2016</v>
      </c>
      <c r="C289" s="1" t="str">
        <f t="shared" si="19"/>
        <v>New Mexico, 2016</v>
      </c>
      <c r="D289" s="27">
        <v>126</v>
      </c>
      <c r="E289" s="27">
        <v>43</v>
      </c>
      <c r="F289" s="27">
        <v>60</v>
      </c>
      <c r="G289" s="27">
        <v>49</v>
      </c>
      <c r="H289" s="27">
        <v>53</v>
      </c>
      <c r="I289" s="27">
        <v>66</v>
      </c>
      <c r="J289" s="27">
        <v>43</v>
      </c>
      <c r="K289" s="27">
        <v>71</v>
      </c>
      <c r="L289" s="27">
        <v>76</v>
      </c>
      <c r="M289" s="27">
        <v>112</v>
      </c>
      <c r="N289" s="27">
        <v>55</v>
      </c>
      <c r="O289" s="28">
        <v>754</v>
      </c>
      <c r="P289" s="29">
        <v>126215.31399999997</v>
      </c>
      <c r="Q289" s="30">
        <v>269784.02999999991</v>
      </c>
      <c r="R289" s="30">
        <v>276933.19799999997</v>
      </c>
      <c r="S289" s="30">
        <v>264832.462</v>
      </c>
      <c r="T289" s="30">
        <v>236395.59900000005</v>
      </c>
      <c r="U289" s="30">
        <v>253819.16800000001</v>
      </c>
      <c r="V289" s="30">
        <v>257384.01399999997</v>
      </c>
      <c r="W289" s="30">
        <v>176860.08200000002</v>
      </c>
      <c r="X289" s="30">
        <v>88405.615000000005</v>
      </c>
      <c r="Y289" s="30">
        <v>33446.436999999998</v>
      </c>
      <c r="Z289" s="31">
        <v>1983997</v>
      </c>
      <c r="AA289" s="32">
        <f t="shared" si="22"/>
        <v>9.9829407388710395E-4</v>
      </c>
      <c r="AB289" s="32">
        <f t="shared" si="22"/>
        <v>1.5938675095038062E-4</v>
      </c>
      <c r="AC289" s="32">
        <f t="shared" si="22"/>
        <v>2.166587481505197E-4</v>
      </c>
      <c r="AD289" s="32">
        <f t="shared" si="22"/>
        <v>1.8502263517831133E-4</v>
      </c>
      <c r="AE289" s="32">
        <f t="shared" si="22"/>
        <v>2.2420045137980758E-4</v>
      </c>
      <c r="AF289" s="32">
        <f t="shared" si="21"/>
        <v>2.6002764298715215E-4</v>
      </c>
      <c r="AG289" s="32">
        <f t="shared" si="21"/>
        <v>1.670655427729867E-4</v>
      </c>
      <c r="AH289" s="32">
        <f t="shared" si="21"/>
        <v>4.0144728644873066E-4</v>
      </c>
      <c r="AI289" s="32">
        <f t="shared" si="21"/>
        <v>8.5967390193484878E-4</v>
      </c>
      <c r="AJ289" s="32">
        <f t="shared" si="21"/>
        <v>3.3486377039204508E-3</v>
      </c>
      <c r="AK289" s="33">
        <f t="shared" si="20"/>
        <v>3.8004089723925994E-4</v>
      </c>
    </row>
    <row r="290" spans="1:37" x14ac:dyDescent="0.3">
      <c r="A290" t="s">
        <v>70</v>
      </c>
      <c r="B290" s="1">
        <v>2017</v>
      </c>
      <c r="C290" s="1" t="str">
        <f t="shared" si="19"/>
        <v>New Mexico, 2017</v>
      </c>
      <c r="D290" s="27">
        <v>102</v>
      </c>
      <c r="E290" s="27">
        <v>48</v>
      </c>
      <c r="F290" s="27">
        <v>59</v>
      </c>
      <c r="G290" s="27">
        <v>47</v>
      </c>
      <c r="H290" s="27">
        <v>62</v>
      </c>
      <c r="I290" s="27">
        <v>70</v>
      </c>
      <c r="J290" s="27">
        <v>60</v>
      </c>
      <c r="K290" s="27">
        <v>66</v>
      </c>
      <c r="L290" s="27">
        <v>92</v>
      </c>
      <c r="M290" s="27">
        <v>91</v>
      </c>
      <c r="N290" s="27">
        <v>55</v>
      </c>
      <c r="O290" s="28">
        <v>752</v>
      </c>
      <c r="P290" s="29">
        <v>129431</v>
      </c>
      <c r="Q290" s="30">
        <v>276486</v>
      </c>
      <c r="R290" s="30">
        <v>281225</v>
      </c>
      <c r="S290" s="30">
        <v>273489</v>
      </c>
      <c r="T290" s="30">
        <v>239033</v>
      </c>
      <c r="U290" s="30">
        <v>250755</v>
      </c>
      <c r="V290" s="30">
        <v>260644</v>
      </c>
      <c r="W290" s="30">
        <v>183609</v>
      </c>
      <c r="X290" s="30">
        <v>92064</v>
      </c>
      <c r="Y290" s="30">
        <v>35046</v>
      </c>
      <c r="Z290" s="31">
        <v>2021782</v>
      </c>
      <c r="AA290" s="32">
        <f t="shared" si="22"/>
        <v>7.8806468311301006E-4</v>
      </c>
      <c r="AB290" s="32">
        <f t="shared" si="22"/>
        <v>1.7360734359063388E-4</v>
      </c>
      <c r="AC290" s="32">
        <f t="shared" si="22"/>
        <v>2.097964263490088E-4</v>
      </c>
      <c r="AD290" s="32">
        <f t="shared" si="22"/>
        <v>1.7185334693534292E-4</v>
      </c>
      <c r="AE290" s="32">
        <f t="shared" si="22"/>
        <v>2.5937841218576517E-4</v>
      </c>
      <c r="AF290" s="32">
        <f t="shared" si="21"/>
        <v>2.7915694602301049E-4</v>
      </c>
      <c r="AG290" s="32">
        <f t="shared" si="21"/>
        <v>2.3019904544129157E-4</v>
      </c>
      <c r="AH290" s="32">
        <f t="shared" si="21"/>
        <v>3.5945950361910363E-4</v>
      </c>
      <c r="AI290" s="32">
        <f t="shared" si="21"/>
        <v>9.9930483142161982E-4</v>
      </c>
      <c r="AJ290" s="32">
        <f t="shared" si="21"/>
        <v>2.5965873423500541E-3</v>
      </c>
      <c r="AK290" s="33">
        <f t="shared" si="20"/>
        <v>3.7194910232656139E-4</v>
      </c>
    </row>
    <row r="291" spans="1:37" x14ac:dyDescent="0.3">
      <c r="A291" t="s">
        <v>71</v>
      </c>
      <c r="B291" s="1">
        <v>2009</v>
      </c>
      <c r="C291" s="1" t="str">
        <f t="shared" si="19"/>
        <v>New York, 2009</v>
      </c>
      <c r="D291" s="27">
        <v>101</v>
      </c>
      <c r="E291" s="27">
        <v>48</v>
      </c>
      <c r="F291" s="27">
        <v>36</v>
      </c>
      <c r="G291" s="27">
        <v>64</v>
      </c>
      <c r="H291" s="27">
        <v>53</v>
      </c>
      <c r="I291" s="27">
        <v>194</v>
      </c>
      <c r="J291" s="27">
        <v>286</v>
      </c>
      <c r="K291" s="27">
        <v>534</v>
      </c>
      <c r="L291" s="27">
        <v>1254</v>
      </c>
      <c r="M291" s="27">
        <v>2090</v>
      </c>
      <c r="N291" s="27">
        <v>70</v>
      </c>
      <c r="O291" s="28">
        <v>4730</v>
      </c>
      <c r="P291" s="29">
        <v>1218885.2499999998</v>
      </c>
      <c r="Q291" s="30">
        <v>2458883.1009999993</v>
      </c>
      <c r="R291" s="30">
        <v>2697088.4880000013</v>
      </c>
      <c r="S291" s="30">
        <v>2607132.2549999999</v>
      </c>
      <c r="T291" s="30">
        <v>2835916.2369999993</v>
      </c>
      <c r="U291" s="30">
        <v>2882213.9930000002</v>
      </c>
      <c r="V291" s="30">
        <v>2162934.6440000003</v>
      </c>
      <c r="W291" s="30">
        <v>1304993.3239999998</v>
      </c>
      <c r="X291" s="30">
        <v>891487.5429999996</v>
      </c>
      <c r="Y291" s="30">
        <v>365830.23300000001</v>
      </c>
      <c r="Z291" s="31">
        <v>19423896</v>
      </c>
      <c r="AA291" s="32">
        <f t="shared" si="22"/>
        <v>8.2862599247960397E-5</v>
      </c>
      <c r="AB291" s="32">
        <f t="shared" si="22"/>
        <v>1.9521058150539551E-5</v>
      </c>
      <c r="AC291" s="32">
        <f t="shared" si="22"/>
        <v>1.3347726691271978E-5</v>
      </c>
      <c r="AD291" s="32">
        <f t="shared" si="22"/>
        <v>2.4548045031954087E-5</v>
      </c>
      <c r="AE291" s="32">
        <f t="shared" si="22"/>
        <v>1.8688845357458989E-5</v>
      </c>
      <c r="AF291" s="32">
        <f t="shared" si="21"/>
        <v>6.730936719867628E-5</v>
      </c>
      <c r="AG291" s="32">
        <f t="shared" si="21"/>
        <v>1.3222775861183162E-4</v>
      </c>
      <c r="AH291" s="32">
        <f t="shared" si="21"/>
        <v>4.0919749563408502E-4</v>
      </c>
      <c r="AI291" s="32">
        <f t="shared" si="21"/>
        <v>1.4066377145103871E-3</v>
      </c>
      <c r="AJ291" s="32">
        <f t="shared" si="21"/>
        <v>5.7130324709931775E-3</v>
      </c>
      <c r="AK291" s="33">
        <f t="shared" si="20"/>
        <v>2.4351448339715164E-4</v>
      </c>
    </row>
    <row r="292" spans="1:37" x14ac:dyDescent="0.3">
      <c r="A292" t="s">
        <v>71</v>
      </c>
      <c r="B292" s="1">
        <v>2010</v>
      </c>
      <c r="C292" s="1" t="str">
        <f t="shared" si="19"/>
        <v>New York, 2010</v>
      </c>
      <c r="D292" s="27">
        <v>130</v>
      </c>
      <c r="E292" s="27">
        <v>36</v>
      </c>
      <c r="F292" s="27">
        <v>58</v>
      </c>
      <c r="G292" s="27">
        <v>41</v>
      </c>
      <c r="H292" s="27">
        <v>57</v>
      </c>
      <c r="I292" s="27">
        <v>142</v>
      </c>
      <c r="J292" s="27">
        <v>326</v>
      </c>
      <c r="K292" s="27">
        <v>523</v>
      </c>
      <c r="L292" s="27">
        <v>1269</v>
      </c>
      <c r="M292" s="27">
        <v>2273</v>
      </c>
      <c r="N292" s="27">
        <v>58</v>
      </c>
      <c r="O292" s="28">
        <v>4913</v>
      </c>
      <c r="P292" s="29">
        <v>1160340.3079999997</v>
      </c>
      <c r="Q292" s="30">
        <v>2408401.919999999</v>
      </c>
      <c r="R292" s="30">
        <v>2752967.0009999992</v>
      </c>
      <c r="S292" s="30">
        <v>2606551.7590000001</v>
      </c>
      <c r="T292" s="30">
        <v>2726523.8130000001</v>
      </c>
      <c r="U292" s="30">
        <v>2837319.5559999989</v>
      </c>
      <c r="V292" s="30">
        <v>2192211.06</v>
      </c>
      <c r="W292" s="30">
        <v>1306542.328</v>
      </c>
      <c r="X292" s="30">
        <v>883289.32199999993</v>
      </c>
      <c r="Y292" s="30">
        <v>366708.0610000001</v>
      </c>
      <c r="Z292" s="31">
        <v>19229752</v>
      </c>
      <c r="AA292" s="32">
        <f t="shared" si="22"/>
        <v>1.1203609760318698E-4</v>
      </c>
      <c r="AB292" s="32">
        <f t="shared" si="22"/>
        <v>1.4947671192688642E-5</v>
      </c>
      <c r="AC292" s="32">
        <f t="shared" si="22"/>
        <v>2.1068178434006596E-5</v>
      </c>
      <c r="AD292" s="32">
        <f t="shared" si="22"/>
        <v>1.5729593651241973E-5</v>
      </c>
      <c r="AE292" s="32">
        <f t="shared" si="22"/>
        <v>2.0905740756132541E-5</v>
      </c>
      <c r="AF292" s="32">
        <f t="shared" si="21"/>
        <v>5.0047235497220131E-5</v>
      </c>
      <c r="AG292" s="32">
        <f t="shared" si="21"/>
        <v>1.4870830913516145E-4</v>
      </c>
      <c r="AH292" s="32">
        <f t="shared" si="21"/>
        <v>4.002931927973481E-4</v>
      </c>
      <c r="AI292" s="32">
        <f t="shared" si="21"/>
        <v>1.4366753547146358E-3</v>
      </c>
      <c r="AJ292" s="32">
        <f t="shared" si="21"/>
        <v>6.1983911501743601E-3</v>
      </c>
      <c r="AK292" s="33">
        <f t="shared" si="20"/>
        <v>2.5548951437335231E-4</v>
      </c>
    </row>
    <row r="293" spans="1:37" x14ac:dyDescent="0.3">
      <c r="A293" t="s">
        <v>71</v>
      </c>
      <c r="B293" s="1">
        <v>2011</v>
      </c>
      <c r="C293" s="1" t="str">
        <f t="shared" si="19"/>
        <v>New York, 2011</v>
      </c>
      <c r="D293" s="27">
        <v>107</v>
      </c>
      <c r="E293" s="27">
        <v>52</v>
      </c>
      <c r="F293" s="27">
        <v>66</v>
      </c>
      <c r="G293" s="27">
        <v>54</v>
      </c>
      <c r="H293" s="27">
        <v>47</v>
      </c>
      <c r="I293" s="27">
        <v>165</v>
      </c>
      <c r="J293" s="27">
        <v>333</v>
      </c>
      <c r="K293" s="27">
        <v>530</v>
      </c>
      <c r="L293" s="27">
        <v>1268</v>
      </c>
      <c r="M293" s="27">
        <v>2498</v>
      </c>
      <c r="N293" s="27">
        <v>57</v>
      </c>
      <c r="O293" s="28">
        <v>5177</v>
      </c>
      <c r="P293" s="29">
        <v>1153898.1560000002</v>
      </c>
      <c r="Q293" s="30">
        <v>2373937.8670000006</v>
      </c>
      <c r="R293" s="30">
        <v>2741885.5369999995</v>
      </c>
      <c r="S293" s="30">
        <v>2622819.5719999997</v>
      </c>
      <c r="T293" s="30">
        <v>2658784.1620000014</v>
      </c>
      <c r="U293" s="30">
        <v>2833718.3420000002</v>
      </c>
      <c r="V293" s="30">
        <v>2245099.7910000011</v>
      </c>
      <c r="W293" s="30">
        <v>1331729.7619999999</v>
      </c>
      <c r="X293" s="30">
        <v>873301.41199999989</v>
      </c>
      <c r="Y293" s="30">
        <v>375750.49499999994</v>
      </c>
      <c r="Z293" s="31">
        <v>19219235</v>
      </c>
      <c r="AA293" s="32">
        <f t="shared" si="22"/>
        <v>9.2729154166357793E-5</v>
      </c>
      <c r="AB293" s="32">
        <f t="shared" si="22"/>
        <v>2.1904532853555088E-5</v>
      </c>
      <c r="AC293" s="32">
        <f t="shared" si="22"/>
        <v>2.4071026711134373E-5</v>
      </c>
      <c r="AD293" s="32">
        <f t="shared" si="22"/>
        <v>2.0588530212477767E-5</v>
      </c>
      <c r="AE293" s="32">
        <f t="shared" si="22"/>
        <v>1.7677252885636819E-5</v>
      </c>
      <c r="AF293" s="32">
        <f t="shared" si="21"/>
        <v>5.8227381865886226E-5</v>
      </c>
      <c r="AG293" s="32">
        <f t="shared" si="21"/>
        <v>1.4832302837268396E-4</v>
      </c>
      <c r="AH293" s="32">
        <f t="shared" si="21"/>
        <v>3.9797864035421329E-4</v>
      </c>
      <c r="AI293" s="32">
        <f t="shared" si="21"/>
        <v>1.4519614678007646E-3</v>
      </c>
      <c r="AJ293" s="32">
        <f t="shared" si="21"/>
        <v>6.6480285009338459E-3</v>
      </c>
      <c r="AK293" s="33">
        <f t="shared" si="20"/>
        <v>2.6936556007562214E-4</v>
      </c>
    </row>
    <row r="294" spans="1:37" x14ac:dyDescent="0.3">
      <c r="A294" t="s">
        <v>71</v>
      </c>
      <c r="B294" s="1">
        <v>2012</v>
      </c>
      <c r="C294" s="1" t="str">
        <f t="shared" si="19"/>
        <v>New York, 2012</v>
      </c>
      <c r="D294" s="27">
        <v>105</v>
      </c>
      <c r="E294" s="27">
        <v>56</v>
      </c>
      <c r="F294" s="27">
        <v>52</v>
      </c>
      <c r="G294" s="27">
        <v>45</v>
      </c>
      <c r="H294" s="27">
        <v>36</v>
      </c>
      <c r="I294" s="27">
        <v>124</v>
      </c>
      <c r="J294" s="27">
        <v>307</v>
      </c>
      <c r="K294" s="27">
        <v>509</v>
      </c>
      <c r="L294" s="27">
        <v>1152</v>
      </c>
      <c r="M294" s="27">
        <v>2208</v>
      </c>
      <c r="N294" s="27">
        <v>60</v>
      </c>
      <c r="O294" s="28">
        <v>4654</v>
      </c>
      <c r="P294" s="29">
        <v>1145771.4819999998</v>
      </c>
      <c r="Q294" s="30">
        <v>2339084.9449999998</v>
      </c>
      <c r="R294" s="30">
        <v>2735690.512000001</v>
      </c>
      <c r="S294" s="30">
        <v>2644959.0319999992</v>
      </c>
      <c r="T294" s="30">
        <v>2589105.0920000002</v>
      </c>
      <c r="U294" s="30">
        <v>2816158.8220000006</v>
      </c>
      <c r="V294" s="30">
        <v>2276078.0030000005</v>
      </c>
      <c r="W294" s="30">
        <v>1358587.227</v>
      </c>
      <c r="X294" s="30">
        <v>857502.42799999972</v>
      </c>
      <c r="Y294" s="30">
        <v>385542.06900000019</v>
      </c>
      <c r="Z294" s="31">
        <v>19157970</v>
      </c>
      <c r="AA294" s="32">
        <f t="shared" si="22"/>
        <v>9.1641310374314248E-5</v>
      </c>
      <c r="AB294" s="32">
        <f t="shared" si="22"/>
        <v>2.394098603375005E-5</v>
      </c>
      <c r="AC294" s="32">
        <f t="shared" si="22"/>
        <v>1.9007998080157096E-5</v>
      </c>
      <c r="AD294" s="32">
        <f t="shared" si="22"/>
        <v>1.7013496033612671E-5</v>
      </c>
      <c r="AE294" s="32">
        <f t="shared" si="22"/>
        <v>1.3904418214322525E-5</v>
      </c>
      <c r="AF294" s="32">
        <f t="shared" si="21"/>
        <v>4.4031607532680548E-5</v>
      </c>
      <c r="AG294" s="32">
        <f t="shared" si="21"/>
        <v>1.3488114185689439E-4</v>
      </c>
      <c r="AH294" s="32">
        <f t="shared" si="21"/>
        <v>3.7465389772871756E-4</v>
      </c>
      <c r="AI294" s="32">
        <f t="shared" si="21"/>
        <v>1.3434364293135276E-3</v>
      </c>
      <c r="AJ294" s="32">
        <f t="shared" si="21"/>
        <v>5.7270014806088485E-3</v>
      </c>
      <c r="AK294" s="33">
        <f t="shared" si="20"/>
        <v>2.429276170700758E-4</v>
      </c>
    </row>
    <row r="295" spans="1:37" x14ac:dyDescent="0.3">
      <c r="A295" t="s">
        <v>71</v>
      </c>
      <c r="B295" s="1">
        <v>2013</v>
      </c>
      <c r="C295" s="1" t="str">
        <f t="shared" si="19"/>
        <v>New York, 2013</v>
      </c>
      <c r="D295" s="27">
        <v>120</v>
      </c>
      <c r="E295" s="27">
        <v>62</v>
      </c>
      <c r="F295" s="27">
        <v>44</v>
      </c>
      <c r="G295" s="27">
        <v>62</v>
      </c>
      <c r="H295" s="27">
        <v>58</v>
      </c>
      <c r="I295" s="27">
        <v>151</v>
      </c>
      <c r="J295" s="27">
        <v>350</v>
      </c>
      <c r="K295" s="27">
        <v>636</v>
      </c>
      <c r="L295" s="27">
        <v>1216</v>
      </c>
      <c r="M295" s="27">
        <v>2430</v>
      </c>
      <c r="N295" s="27">
        <v>61</v>
      </c>
      <c r="O295" s="28">
        <v>5190</v>
      </c>
      <c r="P295" s="29">
        <v>1163671.8459999999</v>
      </c>
      <c r="Q295" s="30">
        <v>2349345.8339999993</v>
      </c>
      <c r="R295" s="30">
        <v>2746894.4450000008</v>
      </c>
      <c r="S295" s="30">
        <v>2709818.1790000005</v>
      </c>
      <c r="T295" s="30">
        <v>2567699.726999999</v>
      </c>
      <c r="U295" s="30">
        <v>2843790.1989999991</v>
      </c>
      <c r="V295" s="30">
        <v>2360338.486</v>
      </c>
      <c r="W295" s="30">
        <v>1422355.4290000002</v>
      </c>
      <c r="X295" s="30">
        <v>866848.95199999993</v>
      </c>
      <c r="Y295" s="30">
        <v>400322.06300000014</v>
      </c>
      <c r="Z295" s="31">
        <v>19427394</v>
      </c>
      <c r="AA295" s="32">
        <f t="shared" si="22"/>
        <v>1.0312185554070714E-4</v>
      </c>
      <c r="AB295" s="32">
        <f t="shared" si="22"/>
        <v>2.6390324958858321E-5</v>
      </c>
      <c r="AC295" s="32">
        <f t="shared" si="22"/>
        <v>1.6018089111538462E-5</v>
      </c>
      <c r="AD295" s="32">
        <f t="shared" si="22"/>
        <v>2.2879763845587512E-5</v>
      </c>
      <c r="AE295" s="32">
        <f t="shared" si="22"/>
        <v>2.2588311004637975E-5</v>
      </c>
      <c r="AF295" s="32">
        <f t="shared" si="21"/>
        <v>5.3098150508113506E-5</v>
      </c>
      <c r="AG295" s="32">
        <f t="shared" si="21"/>
        <v>1.4828381695082017E-4</v>
      </c>
      <c r="AH295" s="32">
        <f t="shared" si="21"/>
        <v>4.4714561988710901E-4</v>
      </c>
      <c r="AI295" s="32">
        <f t="shared" si="21"/>
        <v>1.4027818770437875E-3</v>
      </c>
      <c r="AJ295" s="32">
        <f t="shared" si="21"/>
        <v>6.0701126033115968E-3</v>
      </c>
      <c r="AK295" s="33">
        <f t="shared" si="20"/>
        <v>2.6714854292860896E-4</v>
      </c>
    </row>
    <row r="296" spans="1:37" x14ac:dyDescent="0.3">
      <c r="A296" t="s">
        <v>71</v>
      </c>
      <c r="B296" s="1">
        <v>2014</v>
      </c>
      <c r="C296" s="1" t="str">
        <f t="shared" si="19"/>
        <v>New York, 2014</v>
      </c>
      <c r="D296" s="27">
        <v>91</v>
      </c>
      <c r="E296" s="27">
        <v>45</v>
      </c>
      <c r="F296" s="27">
        <v>58</v>
      </c>
      <c r="G296" s="27">
        <v>55</v>
      </c>
      <c r="H296" s="27">
        <v>58</v>
      </c>
      <c r="I296" s="27">
        <v>166</v>
      </c>
      <c r="J296" s="27">
        <v>394</v>
      </c>
      <c r="K296" s="27">
        <v>615</v>
      </c>
      <c r="L296" s="27">
        <v>1171</v>
      </c>
      <c r="M296" s="27">
        <v>2244</v>
      </c>
      <c r="N296" s="27">
        <v>58</v>
      </c>
      <c r="O296" s="28">
        <v>4955</v>
      </c>
      <c r="P296" s="29">
        <v>1165410.6059999997</v>
      </c>
      <c r="Q296" s="30">
        <v>2334874.3190000001</v>
      </c>
      <c r="R296" s="30">
        <v>2732520.7990000006</v>
      </c>
      <c r="S296" s="30">
        <v>2749850.7279999992</v>
      </c>
      <c r="T296" s="30">
        <v>2540864.1970000016</v>
      </c>
      <c r="U296" s="30">
        <v>2826417.3120000004</v>
      </c>
      <c r="V296" s="30">
        <v>2403642.4950000001</v>
      </c>
      <c r="W296" s="30">
        <v>1471829.5419999999</v>
      </c>
      <c r="X296" s="30">
        <v>858466.35900000017</v>
      </c>
      <c r="Y296" s="30">
        <v>410278.37699999992</v>
      </c>
      <c r="Z296" s="31">
        <v>19501973</v>
      </c>
      <c r="AA296" s="32">
        <f t="shared" si="22"/>
        <v>7.8084067136076869E-5</v>
      </c>
      <c r="AB296" s="32">
        <f t="shared" si="22"/>
        <v>1.9272985973511835E-5</v>
      </c>
      <c r="AC296" s="32">
        <f t="shared" si="22"/>
        <v>2.1225821966744337E-5</v>
      </c>
      <c r="AD296" s="32">
        <f t="shared" si="22"/>
        <v>2.0001085673476607E-5</v>
      </c>
      <c r="AE296" s="32">
        <f t="shared" si="22"/>
        <v>2.282687916515987E-5</v>
      </c>
      <c r="AF296" s="32">
        <f t="shared" si="21"/>
        <v>5.8731596107630966E-5</v>
      </c>
      <c r="AG296" s="32">
        <f t="shared" si="21"/>
        <v>1.6391788746437518E-4</v>
      </c>
      <c r="AH296" s="32">
        <f t="shared" si="21"/>
        <v>4.178472998743492E-4</v>
      </c>
      <c r="AI296" s="32">
        <f t="shared" si="21"/>
        <v>1.3640604407190286E-3</v>
      </c>
      <c r="AJ296" s="32">
        <f t="shared" si="21"/>
        <v>5.4694571437285382E-3</v>
      </c>
      <c r="AK296" s="33">
        <f t="shared" si="20"/>
        <v>2.5407685673649533E-4</v>
      </c>
    </row>
    <row r="297" spans="1:37" x14ac:dyDescent="0.3">
      <c r="A297" t="s">
        <v>71</v>
      </c>
      <c r="B297" s="1">
        <v>2015</v>
      </c>
      <c r="C297" s="1" t="str">
        <f t="shared" si="19"/>
        <v>New York, 2015</v>
      </c>
      <c r="D297" s="27">
        <v>112</v>
      </c>
      <c r="E297" s="27">
        <v>58</v>
      </c>
      <c r="F297" s="27">
        <v>53</v>
      </c>
      <c r="G297" s="27">
        <v>39</v>
      </c>
      <c r="H297" s="27">
        <v>56</v>
      </c>
      <c r="I297" s="27">
        <v>146</v>
      </c>
      <c r="J297" s="27">
        <v>329</v>
      </c>
      <c r="K297" s="27">
        <v>620</v>
      </c>
      <c r="L297" s="27">
        <v>1214</v>
      </c>
      <c r="M297" s="27">
        <v>2464</v>
      </c>
      <c r="N297" s="27">
        <v>57</v>
      </c>
      <c r="O297" s="28">
        <v>5148</v>
      </c>
      <c r="P297" s="29">
        <v>1171359.1710000001</v>
      </c>
      <c r="Q297" s="30">
        <v>2315784.3340000003</v>
      </c>
      <c r="R297" s="30">
        <v>2707201.236</v>
      </c>
      <c r="S297" s="30">
        <v>2789845.6220000004</v>
      </c>
      <c r="T297" s="30">
        <v>2519397.9450000003</v>
      </c>
      <c r="U297" s="30">
        <v>2800220.6159999999</v>
      </c>
      <c r="V297" s="30">
        <v>2444596.1240000003</v>
      </c>
      <c r="W297" s="30">
        <v>1524700.9130000002</v>
      </c>
      <c r="X297" s="30">
        <v>854353.20699999982</v>
      </c>
      <c r="Y297" s="30">
        <v>414236.19699999981</v>
      </c>
      <c r="Z297" s="31">
        <v>19540557</v>
      </c>
      <c r="AA297" s="32">
        <f t="shared" si="22"/>
        <v>9.5615420763201582E-5</v>
      </c>
      <c r="AB297" s="32">
        <f t="shared" si="22"/>
        <v>2.5045510131687416E-5</v>
      </c>
      <c r="AC297" s="32">
        <f t="shared" si="22"/>
        <v>1.9577414229578904E-5</v>
      </c>
      <c r="AD297" s="32">
        <f t="shared" si="22"/>
        <v>1.3979268133138298E-5</v>
      </c>
      <c r="AE297" s="32">
        <f t="shared" si="22"/>
        <v>2.2227532617916774E-5</v>
      </c>
      <c r="AF297" s="32">
        <f t="shared" si="21"/>
        <v>5.2138749056335067E-5</v>
      </c>
      <c r="AG297" s="32">
        <f t="shared" si="21"/>
        <v>1.3458255814529794E-4</v>
      </c>
      <c r="AH297" s="32">
        <f t="shared" si="21"/>
        <v>4.0663712778927152E-4</v>
      </c>
      <c r="AI297" s="32">
        <f t="shared" si="21"/>
        <v>1.4209579715430275E-3</v>
      </c>
      <c r="AJ297" s="32">
        <f t="shared" si="21"/>
        <v>5.9482971740395761E-3</v>
      </c>
      <c r="AK297" s="33">
        <f t="shared" si="20"/>
        <v>2.6345206024577496E-4</v>
      </c>
    </row>
    <row r="298" spans="1:37" x14ac:dyDescent="0.3">
      <c r="A298" t="s">
        <v>71</v>
      </c>
      <c r="B298" s="1">
        <v>2016</v>
      </c>
      <c r="C298" s="1" t="str">
        <f t="shared" si="19"/>
        <v>New York, 2016</v>
      </c>
      <c r="D298" s="27">
        <v>119</v>
      </c>
      <c r="E298" s="27">
        <v>60</v>
      </c>
      <c r="F298" s="27">
        <v>58</v>
      </c>
      <c r="G298" s="27">
        <v>51</v>
      </c>
      <c r="H298" s="27">
        <v>73</v>
      </c>
      <c r="I298" s="27">
        <v>114</v>
      </c>
      <c r="J298" s="27">
        <v>376</v>
      </c>
      <c r="K298" s="27">
        <v>695</v>
      </c>
      <c r="L298" s="27">
        <v>1127</v>
      </c>
      <c r="M298" s="27">
        <v>2081</v>
      </c>
      <c r="N298" s="27">
        <v>58</v>
      </c>
      <c r="O298" s="28">
        <v>4812</v>
      </c>
      <c r="P298" s="29">
        <v>1167958.1499999997</v>
      </c>
      <c r="Q298" s="30">
        <v>2312761.7330000009</v>
      </c>
      <c r="R298" s="30">
        <v>2692540.9759999993</v>
      </c>
      <c r="S298" s="30">
        <v>2826304.2119999998</v>
      </c>
      <c r="T298" s="30">
        <v>2499327.1769999997</v>
      </c>
      <c r="U298" s="30">
        <v>2772651.1880000001</v>
      </c>
      <c r="V298" s="30">
        <v>2491972.1719999993</v>
      </c>
      <c r="W298" s="30">
        <v>1595210.7159999993</v>
      </c>
      <c r="X298" s="30">
        <v>865895.74</v>
      </c>
      <c r="Y298" s="30">
        <v>424897.24699999997</v>
      </c>
      <c r="Z298" s="31">
        <v>19649831</v>
      </c>
      <c r="AA298" s="32">
        <f t="shared" si="22"/>
        <v>1.0188721231150281E-4</v>
      </c>
      <c r="AB298" s="32">
        <f t="shared" si="22"/>
        <v>2.5943009668432618E-5</v>
      </c>
      <c r="AC298" s="32">
        <f t="shared" si="22"/>
        <v>2.154099065417529E-5</v>
      </c>
      <c r="AD298" s="32">
        <f t="shared" si="22"/>
        <v>1.8044766654439675E-5</v>
      </c>
      <c r="AE298" s="32">
        <f t="shared" si="22"/>
        <v>2.9207860688180726E-5</v>
      </c>
      <c r="AF298" s="32">
        <f t="shared" si="21"/>
        <v>4.1115882334348652E-5</v>
      </c>
      <c r="AG298" s="32">
        <f t="shared" si="21"/>
        <v>1.5088450995752136E-4</v>
      </c>
      <c r="AH298" s="32">
        <f t="shared" si="21"/>
        <v>4.3567911939728987E-4</v>
      </c>
      <c r="AI298" s="32">
        <f t="shared" si="21"/>
        <v>1.3015423773767498E-3</v>
      </c>
      <c r="AJ298" s="32">
        <f t="shared" si="21"/>
        <v>4.8976547028557237E-3</v>
      </c>
      <c r="AK298" s="33">
        <f t="shared" si="20"/>
        <v>2.4488760234121098E-4</v>
      </c>
    </row>
    <row r="299" spans="1:37" x14ac:dyDescent="0.3">
      <c r="A299" t="s">
        <v>71</v>
      </c>
      <c r="B299" s="1">
        <v>2017</v>
      </c>
      <c r="C299" s="1" t="str">
        <f t="shared" si="19"/>
        <v>New York, 2017</v>
      </c>
      <c r="D299" s="27">
        <v>123</v>
      </c>
      <c r="E299" s="27">
        <v>67</v>
      </c>
      <c r="F299" s="27">
        <v>50</v>
      </c>
      <c r="G299" s="27">
        <v>65</v>
      </c>
      <c r="H299" s="27">
        <v>56</v>
      </c>
      <c r="I299" s="27">
        <v>116</v>
      </c>
      <c r="J299" s="27">
        <v>333</v>
      </c>
      <c r="K299" s="27">
        <v>655</v>
      </c>
      <c r="L299" s="27">
        <v>1134</v>
      </c>
      <c r="M299" s="27">
        <v>2166</v>
      </c>
      <c r="N299" s="27">
        <v>54</v>
      </c>
      <c r="O299" s="28">
        <v>4819</v>
      </c>
      <c r="P299" s="29">
        <v>1172209</v>
      </c>
      <c r="Q299" s="30">
        <v>2290915</v>
      </c>
      <c r="R299" s="30">
        <v>2643909</v>
      </c>
      <c r="S299" s="30">
        <v>2869407</v>
      </c>
      <c r="T299" s="30">
        <v>2473844</v>
      </c>
      <c r="U299" s="30">
        <v>2729152</v>
      </c>
      <c r="V299" s="30">
        <v>2519908</v>
      </c>
      <c r="W299" s="30">
        <v>1660542</v>
      </c>
      <c r="X299" s="30">
        <v>887169</v>
      </c>
      <c r="Y299" s="30">
        <v>434348</v>
      </c>
      <c r="Z299" s="31">
        <v>19681403</v>
      </c>
      <c r="AA299" s="32">
        <f t="shared" si="22"/>
        <v>1.0493009352427766E-4</v>
      </c>
      <c r="AB299" s="32">
        <f t="shared" si="22"/>
        <v>2.9245956310033327E-5</v>
      </c>
      <c r="AC299" s="32">
        <f t="shared" si="22"/>
        <v>1.8911392184829357E-5</v>
      </c>
      <c r="AD299" s="32">
        <f t="shared" si="22"/>
        <v>2.2652764142556285E-5</v>
      </c>
      <c r="AE299" s="32">
        <f t="shared" si="22"/>
        <v>2.2636835629085748E-5</v>
      </c>
      <c r="AF299" s="32">
        <f t="shared" si="21"/>
        <v>4.2504045212578851E-5</v>
      </c>
      <c r="AG299" s="32">
        <f t="shared" si="21"/>
        <v>1.32147681582026E-4</v>
      </c>
      <c r="AH299" s="32">
        <f t="shared" si="21"/>
        <v>3.9444952310751548E-4</v>
      </c>
      <c r="AI299" s="32">
        <f t="shared" si="21"/>
        <v>1.2782232021181985E-3</v>
      </c>
      <c r="AJ299" s="32">
        <f t="shared" si="21"/>
        <v>4.9867847900761601E-3</v>
      </c>
      <c r="AK299" s="33">
        <f t="shared" si="20"/>
        <v>2.4485043063240968E-4</v>
      </c>
    </row>
    <row r="300" spans="1:37" x14ac:dyDescent="0.3">
      <c r="A300" t="s">
        <v>72</v>
      </c>
      <c r="B300" s="1">
        <v>2009</v>
      </c>
      <c r="C300" s="1" t="str">
        <f t="shared" si="19"/>
        <v>North Carolina, 2009</v>
      </c>
      <c r="D300" s="27">
        <v>108</v>
      </c>
      <c r="E300" s="27">
        <v>55</v>
      </c>
      <c r="F300" s="27">
        <v>58</v>
      </c>
      <c r="G300" s="27">
        <v>62</v>
      </c>
      <c r="H300" s="27">
        <v>36</v>
      </c>
      <c r="I300" s="27">
        <v>79</v>
      </c>
      <c r="J300" s="27">
        <v>104</v>
      </c>
      <c r="K300" s="27">
        <v>260</v>
      </c>
      <c r="L300" s="27">
        <v>475</v>
      </c>
      <c r="M300" s="27">
        <v>697</v>
      </c>
      <c r="N300" s="27">
        <v>53</v>
      </c>
      <c r="O300" s="28">
        <v>1987</v>
      </c>
      <c r="P300" s="29">
        <v>629907.10199999996</v>
      </c>
      <c r="Q300" s="30">
        <v>1194008.5070000002</v>
      </c>
      <c r="R300" s="30">
        <v>1259853.5950000004</v>
      </c>
      <c r="S300" s="30">
        <v>1200419.0209999999</v>
      </c>
      <c r="T300" s="30">
        <v>1313075.2689999996</v>
      </c>
      <c r="U300" s="30">
        <v>1275395.4470000002</v>
      </c>
      <c r="V300" s="30">
        <v>997468.33900000027</v>
      </c>
      <c r="W300" s="30">
        <v>600753.60299999977</v>
      </c>
      <c r="X300" s="30">
        <v>378439.97199999989</v>
      </c>
      <c r="Y300" s="30">
        <v>132036.57000000007</v>
      </c>
      <c r="Z300" s="31">
        <v>8979738</v>
      </c>
      <c r="AA300" s="32">
        <f t="shared" si="22"/>
        <v>1.7145385352394392E-4</v>
      </c>
      <c r="AB300" s="32">
        <f t="shared" si="22"/>
        <v>4.6063323399755302E-5</v>
      </c>
      <c r="AC300" s="32">
        <f t="shared" si="22"/>
        <v>4.6037095286456663E-5</v>
      </c>
      <c r="AD300" s="32">
        <f t="shared" si="22"/>
        <v>5.1648631782218322E-5</v>
      </c>
      <c r="AE300" s="32">
        <f t="shared" si="22"/>
        <v>2.741655474740345E-5</v>
      </c>
      <c r="AF300" s="32">
        <f t="shared" si="21"/>
        <v>6.1941572855559981E-5</v>
      </c>
      <c r="AG300" s="32">
        <f t="shared" si="21"/>
        <v>1.0426396100377875E-4</v>
      </c>
      <c r="AH300" s="32">
        <f t="shared" si="21"/>
        <v>4.3278974724684274E-4</v>
      </c>
      <c r="AI300" s="32">
        <f t="shared" si="21"/>
        <v>1.2551528251355016E-3</v>
      </c>
      <c r="AJ300" s="32">
        <f t="shared" si="21"/>
        <v>5.2788405515229583E-3</v>
      </c>
      <c r="AK300" s="33">
        <f t="shared" si="20"/>
        <v>2.2127594368566211E-4</v>
      </c>
    </row>
    <row r="301" spans="1:37" x14ac:dyDescent="0.3">
      <c r="A301" t="s">
        <v>72</v>
      </c>
      <c r="B301" s="1">
        <v>2010</v>
      </c>
      <c r="C301" s="1" t="str">
        <f t="shared" si="19"/>
        <v>North Carolina, 2010</v>
      </c>
      <c r="D301" s="27">
        <v>122</v>
      </c>
      <c r="E301" s="27">
        <v>52</v>
      </c>
      <c r="F301" s="27">
        <v>56</v>
      </c>
      <c r="G301" s="27">
        <v>28</v>
      </c>
      <c r="H301" s="27">
        <v>55</v>
      </c>
      <c r="I301" s="27">
        <v>67</v>
      </c>
      <c r="J301" s="27">
        <v>126</v>
      </c>
      <c r="K301" s="27">
        <v>213</v>
      </c>
      <c r="L301" s="27">
        <v>440</v>
      </c>
      <c r="M301" s="27">
        <v>783</v>
      </c>
      <c r="N301" s="27">
        <v>51</v>
      </c>
      <c r="O301" s="28">
        <v>1993</v>
      </c>
      <c r="P301" s="29">
        <v>619585.28799999983</v>
      </c>
      <c r="Q301" s="30">
        <v>1231386.1370000006</v>
      </c>
      <c r="R301" s="30">
        <v>1287162.3009999997</v>
      </c>
      <c r="S301" s="30">
        <v>1216090.4100000006</v>
      </c>
      <c r="T301" s="30">
        <v>1332728.5929999996</v>
      </c>
      <c r="U301" s="30">
        <v>1323208.4800000004</v>
      </c>
      <c r="V301" s="30">
        <v>1061683.977</v>
      </c>
      <c r="W301" s="30">
        <v>646357.84400000004</v>
      </c>
      <c r="X301" s="30">
        <v>379145.2809999999</v>
      </c>
      <c r="Y301" s="30">
        <v>134014.02100000007</v>
      </c>
      <c r="Z301" s="31">
        <v>9227899</v>
      </c>
      <c r="AA301" s="32">
        <f t="shared" si="22"/>
        <v>1.9690590200069442E-4</v>
      </c>
      <c r="AB301" s="32">
        <f t="shared" si="22"/>
        <v>4.2228833375277779E-5</v>
      </c>
      <c r="AC301" s="32">
        <f t="shared" si="22"/>
        <v>4.3506556987019786E-5</v>
      </c>
      <c r="AD301" s="32">
        <f t="shared" si="22"/>
        <v>2.3024603902599631E-5</v>
      </c>
      <c r="AE301" s="32">
        <f t="shared" si="22"/>
        <v>4.1268717643548006E-5</v>
      </c>
      <c r="AF301" s="32">
        <f t="shared" si="21"/>
        <v>5.0634500165839305E-5</v>
      </c>
      <c r="AG301" s="32">
        <f t="shared" si="21"/>
        <v>1.1867938362980495E-4</v>
      </c>
      <c r="AH301" s="32">
        <f t="shared" si="21"/>
        <v>3.2953881812873922E-4</v>
      </c>
      <c r="AI301" s="32">
        <f t="shared" si="21"/>
        <v>1.160505014962853E-3</v>
      </c>
      <c r="AJ301" s="32">
        <f t="shared" si="21"/>
        <v>5.8426722380041088E-3</v>
      </c>
      <c r="AK301" s="33">
        <f t="shared" si="20"/>
        <v>2.1597548911187693E-4</v>
      </c>
    </row>
    <row r="302" spans="1:37" x14ac:dyDescent="0.3">
      <c r="A302" t="s">
        <v>72</v>
      </c>
      <c r="B302" s="1">
        <v>2011</v>
      </c>
      <c r="C302" s="1" t="str">
        <f t="shared" si="19"/>
        <v>North Carolina, 2011</v>
      </c>
      <c r="D302" s="27">
        <v>114</v>
      </c>
      <c r="E302" s="27">
        <v>61</v>
      </c>
      <c r="F302" s="27">
        <v>42</v>
      </c>
      <c r="G302" s="27">
        <v>76</v>
      </c>
      <c r="H302" s="27">
        <v>52</v>
      </c>
      <c r="I302" s="27">
        <v>72</v>
      </c>
      <c r="J302" s="27">
        <v>102</v>
      </c>
      <c r="K302" s="27">
        <v>223</v>
      </c>
      <c r="L302" s="27">
        <v>412</v>
      </c>
      <c r="M302" s="27">
        <v>709</v>
      </c>
      <c r="N302" s="27">
        <v>53</v>
      </c>
      <c r="O302" s="28">
        <v>1916</v>
      </c>
      <c r="P302" s="29">
        <v>619095.12699999986</v>
      </c>
      <c r="Q302" s="30">
        <v>1236622.8929999997</v>
      </c>
      <c r="R302" s="30">
        <v>1293502.3369999994</v>
      </c>
      <c r="S302" s="30">
        <v>1217300.0850000004</v>
      </c>
      <c r="T302" s="30">
        <v>1317098.6529999997</v>
      </c>
      <c r="U302" s="30">
        <v>1327171.2469999997</v>
      </c>
      <c r="V302" s="30">
        <v>1086486.5979999998</v>
      </c>
      <c r="W302" s="30">
        <v>659010.88199999998</v>
      </c>
      <c r="X302" s="30">
        <v>380524.299</v>
      </c>
      <c r="Y302" s="30">
        <v>137430.04000000004</v>
      </c>
      <c r="Z302" s="31">
        <v>9277245</v>
      </c>
      <c r="AA302" s="32">
        <f t="shared" si="22"/>
        <v>1.8413971460641142E-4</v>
      </c>
      <c r="AB302" s="32">
        <f t="shared" si="22"/>
        <v>4.9327891587075779E-5</v>
      </c>
      <c r="AC302" s="32">
        <f t="shared" si="22"/>
        <v>3.2469983855931773E-5</v>
      </c>
      <c r="AD302" s="32">
        <f t="shared" si="22"/>
        <v>6.2433249563109968E-5</v>
      </c>
      <c r="AE302" s="32">
        <f t="shared" si="22"/>
        <v>3.9480717622448297E-5</v>
      </c>
      <c r="AF302" s="32">
        <f t="shared" si="21"/>
        <v>5.4250723230142445E-5</v>
      </c>
      <c r="AG302" s="32">
        <f t="shared" si="21"/>
        <v>9.388058737932083E-5</v>
      </c>
      <c r="AH302" s="32">
        <f t="shared" si="21"/>
        <v>3.3838591454397258E-4</v>
      </c>
      <c r="AI302" s="32">
        <f t="shared" si="21"/>
        <v>1.0827166650926542E-3</v>
      </c>
      <c r="AJ302" s="32">
        <f t="shared" si="21"/>
        <v>5.1589885297275602E-3</v>
      </c>
      <c r="AK302" s="33">
        <f t="shared" si="20"/>
        <v>2.0652682989400408E-4</v>
      </c>
    </row>
    <row r="303" spans="1:37" x14ac:dyDescent="0.3">
      <c r="A303" t="s">
        <v>72</v>
      </c>
      <c r="B303" s="1">
        <v>2012</v>
      </c>
      <c r="C303" s="1" t="str">
        <f t="shared" si="19"/>
        <v>North Carolina, 2012</v>
      </c>
      <c r="D303" s="27">
        <v>119</v>
      </c>
      <c r="E303" s="27">
        <v>52</v>
      </c>
      <c r="F303" s="27">
        <v>36</v>
      </c>
      <c r="G303" s="27">
        <v>70</v>
      </c>
      <c r="H303" s="27">
        <v>58</v>
      </c>
      <c r="I303" s="27">
        <v>68</v>
      </c>
      <c r="J303" s="27">
        <v>174</v>
      </c>
      <c r="K303" s="27">
        <v>293</v>
      </c>
      <c r="L303" s="27">
        <v>510</v>
      </c>
      <c r="M303" s="27">
        <v>794</v>
      </c>
      <c r="N303" s="27">
        <v>52</v>
      </c>
      <c r="O303" s="28">
        <v>2226</v>
      </c>
      <c r="P303" s="29">
        <v>616000.18999999994</v>
      </c>
      <c r="Q303" s="30">
        <v>1242182.8570000001</v>
      </c>
      <c r="R303" s="30">
        <v>1303607.2259999996</v>
      </c>
      <c r="S303" s="30">
        <v>1224598.7350000001</v>
      </c>
      <c r="T303" s="30">
        <v>1302493.5919999999</v>
      </c>
      <c r="U303" s="30">
        <v>1326575.3409999995</v>
      </c>
      <c r="V303" s="30">
        <v>1109870.2210000004</v>
      </c>
      <c r="W303" s="30">
        <v>684583.43699999992</v>
      </c>
      <c r="X303" s="30">
        <v>381931.35100000002</v>
      </c>
      <c r="Y303" s="30">
        <v>140137.217</v>
      </c>
      <c r="Z303" s="31">
        <v>9333193</v>
      </c>
      <c r="AA303" s="32">
        <f t="shared" si="22"/>
        <v>1.931817585965355E-4</v>
      </c>
      <c r="AB303" s="32">
        <f t="shared" si="22"/>
        <v>4.1861791689498414E-5</v>
      </c>
      <c r="AC303" s="32">
        <f t="shared" si="22"/>
        <v>2.7615680000840998E-5</v>
      </c>
      <c r="AD303" s="32">
        <f t="shared" si="22"/>
        <v>5.716158117703755E-5</v>
      </c>
      <c r="AE303" s="32">
        <f t="shared" si="22"/>
        <v>4.4529969557040251E-5</v>
      </c>
      <c r="AF303" s="32">
        <f t="shared" si="21"/>
        <v>5.1259810052507241E-5</v>
      </c>
      <c r="AG303" s="32">
        <f t="shared" si="21"/>
        <v>1.5677508658915531E-4</v>
      </c>
      <c r="AH303" s="32">
        <f t="shared" si="21"/>
        <v>4.2799750061729881E-4</v>
      </c>
      <c r="AI303" s="32">
        <f t="shared" si="21"/>
        <v>1.335318503350619E-3</v>
      </c>
      <c r="AJ303" s="32">
        <f t="shared" si="21"/>
        <v>5.6658753256103268E-3</v>
      </c>
      <c r="AK303" s="33">
        <f t="shared" si="20"/>
        <v>2.385035860717763E-4</v>
      </c>
    </row>
    <row r="304" spans="1:37" x14ac:dyDescent="0.3">
      <c r="A304" t="s">
        <v>72</v>
      </c>
      <c r="B304" s="1">
        <v>2013</v>
      </c>
      <c r="C304" s="1" t="str">
        <f t="shared" si="19"/>
        <v>North Carolina, 2013</v>
      </c>
      <c r="D304" s="27">
        <v>87</v>
      </c>
      <c r="E304" s="27">
        <v>53</v>
      </c>
      <c r="F304" s="27">
        <v>45</v>
      </c>
      <c r="G304" s="27">
        <v>55</v>
      </c>
      <c r="H304" s="27">
        <v>42</v>
      </c>
      <c r="I304" s="27">
        <v>89</v>
      </c>
      <c r="J304" s="27">
        <v>165</v>
      </c>
      <c r="K304" s="27">
        <v>288</v>
      </c>
      <c r="L304" s="27">
        <v>501</v>
      </c>
      <c r="M304" s="27">
        <v>797</v>
      </c>
      <c r="N304" s="27">
        <v>52</v>
      </c>
      <c r="O304" s="28">
        <v>2174</v>
      </c>
      <c r="P304" s="29">
        <v>616111.87199999997</v>
      </c>
      <c r="Q304" s="30">
        <v>1265308.4309999996</v>
      </c>
      <c r="R304" s="30">
        <v>1324359.7239999999</v>
      </c>
      <c r="S304" s="30">
        <v>1237634.656</v>
      </c>
      <c r="T304" s="30">
        <v>1302943.0590000001</v>
      </c>
      <c r="U304" s="30">
        <v>1340578.5500000003</v>
      </c>
      <c r="V304" s="30">
        <v>1142102.54</v>
      </c>
      <c r="W304" s="30">
        <v>721108.97899999982</v>
      </c>
      <c r="X304" s="30">
        <v>388030.45900000003</v>
      </c>
      <c r="Y304" s="30">
        <v>147258.84000000003</v>
      </c>
      <c r="Z304" s="31">
        <v>9483297</v>
      </c>
      <c r="AA304" s="32">
        <f t="shared" si="22"/>
        <v>1.4120812137182774E-4</v>
      </c>
      <c r="AB304" s="32">
        <f t="shared" si="22"/>
        <v>4.1887020351324928E-5</v>
      </c>
      <c r="AC304" s="32">
        <f t="shared" si="22"/>
        <v>3.3978683574040795E-5</v>
      </c>
      <c r="AD304" s="32">
        <f t="shared" si="22"/>
        <v>4.4439608840429887E-5</v>
      </c>
      <c r="AE304" s="32">
        <f t="shared" si="22"/>
        <v>3.2234716405976111E-5</v>
      </c>
      <c r="AF304" s="32">
        <f t="shared" si="21"/>
        <v>6.6389246642802079E-5</v>
      </c>
      <c r="AG304" s="32">
        <f t="shared" si="21"/>
        <v>1.4447039054829526E-4</v>
      </c>
      <c r="AH304" s="32">
        <f t="shared" si="21"/>
        <v>3.9938484804250381E-4</v>
      </c>
      <c r="AI304" s="32">
        <f t="shared" si="21"/>
        <v>1.2911357559175528E-3</v>
      </c>
      <c r="AJ304" s="32">
        <f t="shared" si="21"/>
        <v>5.4122387491304415E-3</v>
      </c>
      <c r="AK304" s="33">
        <f t="shared" si="20"/>
        <v>2.2924516652805455E-4</v>
      </c>
    </row>
    <row r="305" spans="1:37" x14ac:dyDescent="0.3">
      <c r="A305" t="s">
        <v>72</v>
      </c>
      <c r="B305" s="1">
        <v>2014</v>
      </c>
      <c r="C305" s="1" t="str">
        <f t="shared" si="19"/>
        <v>North Carolina, 2014</v>
      </c>
      <c r="D305" s="27">
        <v>81</v>
      </c>
      <c r="E305" s="27">
        <v>40</v>
      </c>
      <c r="F305" s="27">
        <v>68</v>
      </c>
      <c r="G305" s="27">
        <v>67</v>
      </c>
      <c r="H305" s="27">
        <v>66</v>
      </c>
      <c r="I305" s="27">
        <v>93</v>
      </c>
      <c r="J305" s="27">
        <v>167</v>
      </c>
      <c r="K305" s="27">
        <v>304</v>
      </c>
      <c r="L305" s="27">
        <v>479</v>
      </c>
      <c r="M305" s="27">
        <v>745</v>
      </c>
      <c r="N305" s="27">
        <v>52</v>
      </c>
      <c r="O305" s="28">
        <v>2162</v>
      </c>
      <c r="P305" s="29">
        <v>609767.13100000005</v>
      </c>
      <c r="Q305" s="30">
        <v>1268531.4619999994</v>
      </c>
      <c r="R305" s="30">
        <v>1345508.5099999998</v>
      </c>
      <c r="S305" s="30">
        <v>1248194.9510000001</v>
      </c>
      <c r="T305" s="30">
        <v>1292669.3159999999</v>
      </c>
      <c r="U305" s="30">
        <v>1341531.3529999997</v>
      </c>
      <c r="V305" s="30">
        <v>1174518.3799999994</v>
      </c>
      <c r="W305" s="30">
        <v>764730.10800000001</v>
      </c>
      <c r="X305" s="30">
        <v>400210.75699999998</v>
      </c>
      <c r="Y305" s="30">
        <v>155905.08099999998</v>
      </c>
      <c r="Z305" s="31">
        <v>9599043</v>
      </c>
      <c r="AA305" s="32">
        <f t="shared" si="22"/>
        <v>1.328375963249485E-4</v>
      </c>
      <c r="AB305" s="32">
        <f t="shared" si="22"/>
        <v>3.1532524969412243E-5</v>
      </c>
      <c r="AC305" s="32">
        <f t="shared" si="22"/>
        <v>5.0538513502229734E-5</v>
      </c>
      <c r="AD305" s="32">
        <f t="shared" si="22"/>
        <v>5.3677512432110451E-5</v>
      </c>
      <c r="AE305" s="32">
        <f t="shared" si="22"/>
        <v>5.1057141360969699E-5</v>
      </c>
      <c r="AF305" s="32">
        <f t="shared" si="21"/>
        <v>6.9323761827875835E-5</v>
      </c>
      <c r="AG305" s="32">
        <f t="shared" si="21"/>
        <v>1.4218594007869002E-4</v>
      </c>
      <c r="AH305" s="32">
        <f t="shared" si="21"/>
        <v>3.9752586804127766E-4</v>
      </c>
      <c r="AI305" s="32">
        <f t="shared" si="21"/>
        <v>1.1968693785009883E-3</v>
      </c>
      <c r="AJ305" s="32">
        <f t="shared" si="21"/>
        <v>4.7785485580165285E-3</v>
      </c>
      <c r="AK305" s="33">
        <f t="shared" si="20"/>
        <v>2.2523078602731543E-4</v>
      </c>
    </row>
    <row r="306" spans="1:37" x14ac:dyDescent="0.3">
      <c r="A306" t="s">
        <v>72</v>
      </c>
      <c r="B306" s="1">
        <v>2015</v>
      </c>
      <c r="C306" s="1" t="str">
        <f t="shared" si="19"/>
        <v>North Carolina, 2015</v>
      </c>
      <c r="D306" s="27">
        <v>123</v>
      </c>
      <c r="E306" s="27">
        <v>54</v>
      </c>
      <c r="F306" s="27">
        <v>73</v>
      </c>
      <c r="G306" s="27">
        <v>48</v>
      </c>
      <c r="H306" s="27">
        <v>35</v>
      </c>
      <c r="I306" s="27">
        <v>74</v>
      </c>
      <c r="J306" s="27">
        <v>178</v>
      </c>
      <c r="K306" s="27">
        <v>365</v>
      </c>
      <c r="L306" s="27">
        <v>510</v>
      </c>
      <c r="M306" s="27">
        <v>903</v>
      </c>
      <c r="N306" s="27">
        <v>65</v>
      </c>
      <c r="O306" s="28">
        <v>2428</v>
      </c>
      <c r="P306" s="29">
        <v>570441.70099999988</v>
      </c>
      <c r="Q306" s="30">
        <v>1200434.5569999996</v>
      </c>
      <c r="R306" s="30">
        <v>1271592.2680000002</v>
      </c>
      <c r="S306" s="30">
        <v>1189597.7519999996</v>
      </c>
      <c r="T306" s="30">
        <v>1213113.5250000004</v>
      </c>
      <c r="U306" s="30">
        <v>1263753.2680000002</v>
      </c>
      <c r="V306" s="30">
        <v>1121048.5000000005</v>
      </c>
      <c r="W306" s="30">
        <v>744322.88400000043</v>
      </c>
      <c r="X306" s="30">
        <v>379860.68300000014</v>
      </c>
      <c r="Y306" s="30">
        <v>143964.44999999998</v>
      </c>
      <c r="Z306" s="31">
        <v>9097651</v>
      </c>
      <c r="AA306" s="32">
        <f t="shared" si="22"/>
        <v>2.1562238487189426E-4</v>
      </c>
      <c r="AB306" s="32">
        <f t="shared" si="22"/>
        <v>4.4983710011607091E-5</v>
      </c>
      <c r="AC306" s="32">
        <f t="shared" si="22"/>
        <v>5.7408339006981121E-5</v>
      </c>
      <c r="AD306" s="32">
        <f t="shared" si="22"/>
        <v>4.0349773626673779E-5</v>
      </c>
      <c r="AE306" s="32">
        <f t="shared" si="22"/>
        <v>2.885138058286836E-5</v>
      </c>
      <c r="AF306" s="32">
        <f t="shared" si="21"/>
        <v>5.8555733839653253E-5</v>
      </c>
      <c r="AG306" s="32">
        <f t="shared" si="21"/>
        <v>1.5877992789785627E-4</v>
      </c>
      <c r="AH306" s="32">
        <f t="shared" si="21"/>
        <v>4.9037858145444283E-4</v>
      </c>
      <c r="AI306" s="32">
        <f t="shared" si="21"/>
        <v>1.3425974911965286E-3</v>
      </c>
      <c r="AJ306" s="32">
        <f t="shared" si="21"/>
        <v>6.2723818275970218E-3</v>
      </c>
      <c r="AK306" s="33">
        <f t="shared" si="20"/>
        <v>2.6688207758244407E-4</v>
      </c>
    </row>
    <row r="307" spans="1:37" x14ac:dyDescent="0.3">
      <c r="A307" t="s">
        <v>72</v>
      </c>
      <c r="B307" s="1">
        <v>2016</v>
      </c>
      <c r="C307" s="1" t="str">
        <f t="shared" si="19"/>
        <v>North Carolina, 2016</v>
      </c>
      <c r="D307" s="27">
        <v>84</v>
      </c>
      <c r="E307" s="27">
        <v>32</v>
      </c>
      <c r="F307" s="27">
        <v>59</v>
      </c>
      <c r="G307" s="27">
        <v>62</v>
      </c>
      <c r="H307" s="27">
        <v>39</v>
      </c>
      <c r="I307" s="27">
        <v>106</v>
      </c>
      <c r="J307" s="27">
        <v>184</v>
      </c>
      <c r="K307" s="27">
        <v>323</v>
      </c>
      <c r="L307" s="27">
        <v>487</v>
      </c>
      <c r="M307" s="27">
        <v>740</v>
      </c>
      <c r="N307" s="27">
        <v>49</v>
      </c>
      <c r="O307" s="28">
        <v>2165</v>
      </c>
      <c r="P307" s="29">
        <v>580100.73299999977</v>
      </c>
      <c r="Q307" s="30">
        <v>1236940.4119999998</v>
      </c>
      <c r="R307" s="30">
        <v>1301205.0029999998</v>
      </c>
      <c r="S307" s="30">
        <v>1242799.8650000002</v>
      </c>
      <c r="T307" s="30">
        <v>1245653.9959999998</v>
      </c>
      <c r="U307" s="30">
        <v>1305543.5179999997</v>
      </c>
      <c r="V307" s="30">
        <v>1172691.0230000003</v>
      </c>
      <c r="W307" s="30">
        <v>796630.42599999986</v>
      </c>
      <c r="X307" s="30">
        <v>399916.26999999996</v>
      </c>
      <c r="Y307" s="30">
        <v>152522.951</v>
      </c>
      <c r="Z307" s="31">
        <v>9433815</v>
      </c>
      <c r="AA307" s="32">
        <f t="shared" si="22"/>
        <v>1.4480243726911482E-4</v>
      </c>
      <c r="AB307" s="32">
        <f t="shared" si="22"/>
        <v>2.5870284202502072E-5</v>
      </c>
      <c r="AC307" s="32">
        <f t="shared" si="22"/>
        <v>4.5342586190471333E-5</v>
      </c>
      <c r="AD307" s="32">
        <f t="shared" si="22"/>
        <v>4.9887356561629484E-5</v>
      </c>
      <c r="AE307" s="32">
        <f t="shared" si="22"/>
        <v>3.1308854726300742E-5</v>
      </c>
      <c r="AF307" s="32">
        <f t="shared" si="21"/>
        <v>8.1192237974866204E-5</v>
      </c>
      <c r="AG307" s="32">
        <f t="shared" si="21"/>
        <v>1.5690407480845869E-4</v>
      </c>
      <c r="AH307" s="32">
        <f t="shared" si="21"/>
        <v>4.0545777497079941E-4</v>
      </c>
      <c r="AI307" s="32">
        <f t="shared" si="21"/>
        <v>1.2177549065458127E-3</v>
      </c>
      <c r="AJ307" s="32">
        <f t="shared" si="21"/>
        <v>4.8517288391568035E-3</v>
      </c>
      <c r="AK307" s="33">
        <f t="shared" si="20"/>
        <v>2.2949358239482119E-4</v>
      </c>
    </row>
    <row r="308" spans="1:37" x14ac:dyDescent="0.3">
      <c r="A308" t="s">
        <v>72</v>
      </c>
      <c r="B308" s="1">
        <v>2017</v>
      </c>
      <c r="C308" s="1" t="str">
        <f t="shared" si="19"/>
        <v>North Carolina, 2017</v>
      </c>
      <c r="D308" s="27">
        <v>137</v>
      </c>
      <c r="E308" s="27">
        <v>68</v>
      </c>
      <c r="F308" s="27">
        <v>41</v>
      </c>
      <c r="G308" s="27">
        <v>45</v>
      </c>
      <c r="H308" s="27">
        <v>55</v>
      </c>
      <c r="I308" s="27">
        <v>77</v>
      </c>
      <c r="J308" s="27">
        <v>221</v>
      </c>
      <c r="K308" s="27">
        <v>363</v>
      </c>
      <c r="L308" s="27">
        <v>514</v>
      </c>
      <c r="M308" s="27">
        <v>813</v>
      </c>
      <c r="N308" s="27">
        <v>59</v>
      </c>
      <c r="O308" s="28">
        <v>2393</v>
      </c>
      <c r="P308" s="29">
        <v>595548</v>
      </c>
      <c r="Q308" s="30">
        <v>1271900</v>
      </c>
      <c r="R308" s="30">
        <v>1349656</v>
      </c>
      <c r="S308" s="30">
        <v>1298813</v>
      </c>
      <c r="T308" s="30">
        <v>1276498</v>
      </c>
      <c r="U308" s="30">
        <v>1349996</v>
      </c>
      <c r="V308" s="30">
        <v>1244732</v>
      </c>
      <c r="W308" s="30">
        <v>877063</v>
      </c>
      <c r="X308" s="30">
        <v>429901</v>
      </c>
      <c r="Y308" s="30">
        <v>161974</v>
      </c>
      <c r="Z308" s="31">
        <v>9856081</v>
      </c>
      <c r="AA308" s="32">
        <f t="shared" si="22"/>
        <v>2.3004023185368768E-4</v>
      </c>
      <c r="AB308" s="32">
        <f t="shared" si="22"/>
        <v>5.3463322588253791E-5</v>
      </c>
      <c r="AC308" s="32">
        <f t="shared" si="22"/>
        <v>3.0378111163140829E-5</v>
      </c>
      <c r="AD308" s="32">
        <f t="shared" si="22"/>
        <v>3.4647020009808957E-5</v>
      </c>
      <c r="AE308" s="32">
        <f t="shared" si="22"/>
        <v>4.3086632333148977E-5</v>
      </c>
      <c r="AF308" s="32">
        <f t="shared" si="21"/>
        <v>5.703720603616603E-5</v>
      </c>
      <c r="AG308" s="32">
        <f t="shared" si="21"/>
        <v>1.775482593843494E-4</v>
      </c>
      <c r="AH308" s="32">
        <f t="shared" si="21"/>
        <v>4.1388132893532164E-4</v>
      </c>
      <c r="AI308" s="32">
        <f t="shared" si="21"/>
        <v>1.1956241088064462E-3</v>
      </c>
      <c r="AJ308" s="32">
        <f t="shared" si="21"/>
        <v>5.0193240890513292E-3</v>
      </c>
      <c r="AK308" s="33">
        <f t="shared" si="20"/>
        <v>2.4279427086688917E-4</v>
      </c>
    </row>
    <row r="309" spans="1:37" x14ac:dyDescent="0.3">
      <c r="A309" t="s">
        <v>73</v>
      </c>
      <c r="B309" s="1">
        <v>2009</v>
      </c>
      <c r="C309" s="1" t="str">
        <f t="shared" si="19"/>
        <v>North Dakota, 2009</v>
      </c>
      <c r="D309" s="27">
        <v>118</v>
      </c>
      <c r="E309" s="27">
        <v>63</v>
      </c>
      <c r="F309" s="27">
        <v>67</v>
      </c>
      <c r="G309" s="27">
        <v>65</v>
      </c>
      <c r="H309" s="27">
        <v>50</v>
      </c>
      <c r="I309" s="27">
        <v>44</v>
      </c>
      <c r="J309" s="27">
        <v>37</v>
      </c>
      <c r="K309" s="27">
        <v>53</v>
      </c>
      <c r="L309" s="27">
        <v>39</v>
      </c>
      <c r="M309" s="27">
        <v>55</v>
      </c>
      <c r="N309" s="27">
        <v>73</v>
      </c>
      <c r="O309" s="28">
        <v>664</v>
      </c>
      <c r="P309" s="29">
        <v>39268.421999999999</v>
      </c>
      <c r="Q309" s="30">
        <v>73636.786999999982</v>
      </c>
      <c r="R309" s="30">
        <v>110411.41800000001</v>
      </c>
      <c r="S309" s="30">
        <v>75390.820000000007</v>
      </c>
      <c r="T309" s="30">
        <v>72782.008999999991</v>
      </c>
      <c r="U309" s="30">
        <v>88506.627999999982</v>
      </c>
      <c r="V309" s="30">
        <v>65287.616000000009</v>
      </c>
      <c r="W309" s="30">
        <v>40961.863999999994</v>
      </c>
      <c r="X309" s="30">
        <v>32564.284999999996</v>
      </c>
      <c r="Y309" s="30">
        <v>15286.261</v>
      </c>
      <c r="Z309" s="31">
        <v>614109</v>
      </c>
      <c r="AA309" s="32">
        <f t="shared" si="22"/>
        <v>3.004959048265296E-3</v>
      </c>
      <c r="AB309" s="32">
        <f t="shared" si="22"/>
        <v>8.5555063666751261E-4</v>
      </c>
      <c r="AC309" s="32">
        <f t="shared" si="22"/>
        <v>6.0682129813784287E-4</v>
      </c>
      <c r="AD309" s="32">
        <f t="shared" si="22"/>
        <v>8.6217393576565413E-4</v>
      </c>
      <c r="AE309" s="32">
        <f t="shared" si="22"/>
        <v>6.8698296030822675E-4</v>
      </c>
      <c r="AF309" s="32">
        <f t="shared" si="21"/>
        <v>4.9713790926482937E-4</v>
      </c>
      <c r="AG309" s="32">
        <f t="shared" si="21"/>
        <v>5.6672309799150878E-4</v>
      </c>
      <c r="AH309" s="32">
        <f t="shared" si="21"/>
        <v>1.293886430558922E-3</v>
      </c>
      <c r="AI309" s="32">
        <f t="shared" si="21"/>
        <v>1.197631085712461E-3</v>
      </c>
      <c r="AJ309" s="32">
        <f t="shared" si="21"/>
        <v>3.5980021536986709E-3</v>
      </c>
      <c r="AK309" s="33">
        <f t="shared" si="20"/>
        <v>1.0812412780141637E-3</v>
      </c>
    </row>
    <row r="310" spans="1:37" x14ac:dyDescent="0.3">
      <c r="A310" t="s">
        <v>73</v>
      </c>
      <c r="B310" s="1">
        <v>2010</v>
      </c>
      <c r="C310" s="1" t="str">
        <f t="shared" si="19"/>
        <v>North Dakota, 2010</v>
      </c>
      <c r="D310" s="27">
        <v>104</v>
      </c>
      <c r="E310" s="27">
        <v>75</v>
      </c>
      <c r="F310" s="27">
        <v>55</v>
      </c>
      <c r="G310" s="27">
        <v>42</v>
      </c>
      <c r="H310" s="27">
        <v>45</v>
      </c>
      <c r="I310" s="27">
        <v>48</v>
      </c>
      <c r="J310" s="27">
        <v>61</v>
      </c>
      <c r="K310" s="27">
        <v>57</v>
      </c>
      <c r="L310" s="27">
        <v>44</v>
      </c>
      <c r="M310" s="27">
        <v>51</v>
      </c>
      <c r="N310" s="27">
        <v>51</v>
      </c>
      <c r="O310" s="28">
        <v>633</v>
      </c>
      <c r="P310" s="29">
        <v>35893.108000000007</v>
      </c>
      <c r="Q310" s="30">
        <v>68444.343999999983</v>
      </c>
      <c r="R310" s="30">
        <v>86951.253000000012</v>
      </c>
      <c r="S310" s="30">
        <v>70882.137000000032</v>
      </c>
      <c r="T310" s="30">
        <v>66387.416000000027</v>
      </c>
      <c r="U310" s="30">
        <v>82627.888000000006</v>
      </c>
      <c r="V310" s="30">
        <v>64629.739000000001</v>
      </c>
      <c r="W310" s="30">
        <v>38953.269</v>
      </c>
      <c r="X310" s="30">
        <v>29011.695000000007</v>
      </c>
      <c r="Y310" s="30">
        <v>13626.800999999998</v>
      </c>
      <c r="Z310" s="31">
        <v>557726</v>
      </c>
      <c r="AA310" s="32">
        <f t="shared" si="22"/>
        <v>2.8974921870794802E-3</v>
      </c>
      <c r="AB310" s="32">
        <f t="shared" si="22"/>
        <v>1.0957808288731647E-3</v>
      </c>
      <c r="AC310" s="32">
        <f t="shared" si="22"/>
        <v>6.3253832581343014E-4</v>
      </c>
      <c r="AD310" s="32">
        <f t="shared" si="22"/>
        <v>5.9253292546752618E-4</v>
      </c>
      <c r="AE310" s="32">
        <f t="shared" si="22"/>
        <v>6.7783930617212125E-4</v>
      </c>
      <c r="AF310" s="32">
        <f t="shared" si="21"/>
        <v>5.8091766789440387E-4</v>
      </c>
      <c r="AG310" s="32">
        <f t="shared" si="21"/>
        <v>9.4383794432467065E-4</v>
      </c>
      <c r="AH310" s="32">
        <f t="shared" si="21"/>
        <v>1.4632918228249341E-3</v>
      </c>
      <c r="AI310" s="32">
        <f t="shared" si="21"/>
        <v>1.516629759136789E-3</v>
      </c>
      <c r="AJ310" s="32">
        <f t="shared" si="21"/>
        <v>3.7426245528939632E-3</v>
      </c>
      <c r="AK310" s="33">
        <f t="shared" si="20"/>
        <v>1.1349659151626426E-3</v>
      </c>
    </row>
    <row r="311" spans="1:37" x14ac:dyDescent="0.3">
      <c r="A311" t="s">
        <v>73</v>
      </c>
      <c r="B311" s="1">
        <v>2011</v>
      </c>
      <c r="C311" s="1" t="str">
        <f t="shared" si="19"/>
        <v>North Dakota, 2011</v>
      </c>
      <c r="D311" s="27">
        <v>89</v>
      </c>
      <c r="E311" s="27">
        <v>71</v>
      </c>
      <c r="F311" s="27">
        <v>48</v>
      </c>
      <c r="G311" s="27">
        <v>48</v>
      </c>
      <c r="H311" s="27">
        <v>70</v>
      </c>
      <c r="I311" s="27">
        <v>61</v>
      </c>
      <c r="J311" s="27">
        <v>55</v>
      </c>
      <c r="K311" s="27">
        <v>66</v>
      </c>
      <c r="L311" s="27">
        <v>57</v>
      </c>
      <c r="M311" s="27">
        <v>68</v>
      </c>
      <c r="N311" s="27">
        <v>48</v>
      </c>
      <c r="O311" s="28">
        <v>681</v>
      </c>
      <c r="P311" s="29">
        <v>39151.491999999984</v>
      </c>
      <c r="Q311" s="30">
        <v>77409.795999999973</v>
      </c>
      <c r="R311" s="30">
        <v>94352.874000000025</v>
      </c>
      <c r="S311" s="30">
        <v>76641.499000000011</v>
      </c>
      <c r="T311" s="30">
        <v>74861.661999999982</v>
      </c>
      <c r="U311" s="30">
        <v>96678.714000000036</v>
      </c>
      <c r="V311" s="30">
        <v>81509.070999999982</v>
      </c>
      <c r="W311" s="30">
        <v>50247.282999999996</v>
      </c>
      <c r="X311" s="30">
        <v>37768.953000000001</v>
      </c>
      <c r="Y311" s="30">
        <v>16867.151000000005</v>
      </c>
      <c r="Z311" s="31">
        <v>645644</v>
      </c>
      <c r="AA311" s="32">
        <f t="shared" si="22"/>
        <v>2.27322115846824E-3</v>
      </c>
      <c r="AB311" s="32">
        <f t="shared" si="22"/>
        <v>9.1719657806616655E-4</v>
      </c>
      <c r="AC311" s="32">
        <f t="shared" si="22"/>
        <v>5.0872854175062002E-4</v>
      </c>
      <c r="AD311" s="32">
        <f t="shared" si="22"/>
        <v>6.2629255202850339E-4</v>
      </c>
      <c r="AE311" s="32">
        <f t="shared" si="22"/>
        <v>9.3505805414792974E-4</v>
      </c>
      <c r="AF311" s="32">
        <f t="shared" si="21"/>
        <v>6.3095584825424939E-4</v>
      </c>
      <c r="AG311" s="32">
        <f t="shared" si="21"/>
        <v>6.7477152328235973E-4</v>
      </c>
      <c r="AH311" s="32">
        <f t="shared" si="21"/>
        <v>1.3135038565169784E-3</v>
      </c>
      <c r="AI311" s="32">
        <f t="shared" si="21"/>
        <v>1.5091760685026136E-3</v>
      </c>
      <c r="AJ311" s="32">
        <f t="shared" si="21"/>
        <v>4.0315047870265689E-3</v>
      </c>
      <c r="AK311" s="33">
        <f t="shared" si="20"/>
        <v>1.0547608279485288E-3</v>
      </c>
    </row>
    <row r="312" spans="1:37" x14ac:dyDescent="0.3">
      <c r="A312" t="s">
        <v>73</v>
      </c>
      <c r="B312" s="1">
        <v>2012</v>
      </c>
      <c r="C312" s="1" t="str">
        <f t="shared" si="19"/>
        <v>North Dakota, 2012</v>
      </c>
      <c r="D312" s="27">
        <v>108</v>
      </c>
      <c r="E312" s="27">
        <v>60</v>
      </c>
      <c r="F312" s="27">
        <v>51</v>
      </c>
      <c r="G312" s="27">
        <v>54</v>
      </c>
      <c r="H312" s="27">
        <v>66</v>
      </c>
      <c r="I312" s="27">
        <v>49</v>
      </c>
      <c r="J312" s="27">
        <v>58</v>
      </c>
      <c r="K312" s="27">
        <v>64</v>
      </c>
      <c r="L312" s="27">
        <v>49</v>
      </c>
      <c r="M312" s="27">
        <v>75</v>
      </c>
      <c r="N312" s="27">
        <v>51</v>
      </c>
      <c r="O312" s="28">
        <v>685</v>
      </c>
      <c r="P312" s="29">
        <v>41606.834999999999</v>
      </c>
      <c r="Q312" s="30">
        <v>76561.936000000002</v>
      </c>
      <c r="R312" s="30">
        <v>104190.90699999998</v>
      </c>
      <c r="S312" s="30">
        <v>86357.611000000019</v>
      </c>
      <c r="T312" s="30">
        <v>72492.630000000034</v>
      </c>
      <c r="U312" s="30">
        <v>90830.313999999984</v>
      </c>
      <c r="V312" s="30">
        <v>78676.611000000004</v>
      </c>
      <c r="W312" s="30">
        <v>46127.527999999998</v>
      </c>
      <c r="X312" s="30">
        <v>31810.112999999994</v>
      </c>
      <c r="Y312" s="30">
        <v>15029.030000000002</v>
      </c>
      <c r="Z312" s="31">
        <v>643974</v>
      </c>
      <c r="AA312" s="32">
        <f t="shared" si="22"/>
        <v>2.5957273606608145E-3</v>
      </c>
      <c r="AB312" s="32">
        <f t="shared" si="22"/>
        <v>7.8367924238488432E-4</v>
      </c>
      <c r="AC312" s="32">
        <f t="shared" si="22"/>
        <v>4.8948609306184471E-4</v>
      </c>
      <c r="AD312" s="32">
        <f t="shared" si="22"/>
        <v>6.2530678390350554E-4</v>
      </c>
      <c r="AE312" s="32">
        <f t="shared" si="22"/>
        <v>9.1043737825486498E-4</v>
      </c>
      <c r="AF312" s="32">
        <f t="shared" si="21"/>
        <v>5.394674733811887E-4</v>
      </c>
      <c r="AG312" s="32">
        <f t="shared" si="21"/>
        <v>7.3719494603040282E-4</v>
      </c>
      <c r="AH312" s="32">
        <f t="shared" si="21"/>
        <v>1.3874578321214179E-3</v>
      </c>
      <c r="AI312" s="32">
        <f t="shared" si="21"/>
        <v>1.5403906298603845E-3</v>
      </c>
      <c r="AJ312" s="32">
        <f t="shared" si="21"/>
        <v>4.9903420247347959E-3</v>
      </c>
      <c r="AK312" s="33">
        <f t="shared" si="20"/>
        <v>1.0637075409876797E-3</v>
      </c>
    </row>
    <row r="313" spans="1:37" x14ac:dyDescent="0.3">
      <c r="A313" t="s">
        <v>73</v>
      </c>
      <c r="B313" s="1">
        <v>2013</v>
      </c>
      <c r="C313" s="1" t="str">
        <f t="shared" si="19"/>
        <v>North Dakota, 2013</v>
      </c>
      <c r="D313" s="27">
        <v>97</v>
      </c>
      <c r="E313" s="27">
        <v>49</v>
      </c>
      <c r="F313" s="27">
        <v>51</v>
      </c>
      <c r="G313" s="27">
        <v>56</v>
      </c>
      <c r="H313" s="27">
        <v>74</v>
      </c>
      <c r="I313" s="27">
        <v>62</v>
      </c>
      <c r="J313" s="27">
        <v>73</v>
      </c>
      <c r="K313" s="27">
        <v>56</v>
      </c>
      <c r="L313" s="27">
        <v>45</v>
      </c>
      <c r="M313" s="27">
        <v>81</v>
      </c>
      <c r="N313" s="27">
        <v>65</v>
      </c>
      <c r="O313" s="28">
        <v>709</v>
      </c>
      <c r="P313" s="29">
        <v>41663.751999999993</v>
      </c>
      <c r="Q313" s="30">
        <v>76952.186999999991</v>
      </c>
      <c r="R313" s="30">
        <v>104392.91899999995</v>
      </c>
      <c r="S313" s="30">
        <v>86967.202999999994</v>
      </c>
      <c r="T313" s="30">
        <v>70821.120999999985</v>
      </c>
      <c r="U313" s="30">
        <v>86349.074999999968</v>
      </c>
      <c r="V313" s="30">
        <v>78739.043999999994</v>
      </c>
      <c r="W313" s="30">
        <v>45155.859000000004</v>
      </c>
      <c r="X313" s="30">
        <v>30777.865999999995</v>
      </c>
      <c r="Y313" s="30">
        <v>14720.253000000002</v>
      </c>
      <c r="Z313" s="31">
        <v>636437</v>
      </c>
      <c r="AA313" s="32">
        <f t="shared" si="22"/>
        <v>2.3281628596483585E-3</v>
      </c>
      <c r="AB313" s="32">
        <f t="shared" si="22"/>
        <v>6.3675903064327468E-4</v>
      </c>
      <c r="AC313" s="32">
        <f t="shared" si="22"/>
        <v>4.8853888260371402E-4</v>
      </c>
      <c r="AD313" s="32">
        <f t="shared" si="22"/>
        <v>6.4392090429768109E-4</v>
      </c>
      <c r="AE313" s="32">
        <f t="shared" si="22"/>
        <v>1.0448860305388278E-3</v>
      </c>
      <c r="AF313" s="32">
        <f t="shared" si="21"/>
        <v>7.1801579808469307E-4</v>
      </c>
      <c r="AG313" s="32">
        <f t="shared" si="21"/>
        <v>9.2711311049191816E-4</v>
      </c>
      <c r="AH313" s="32">
        <f t="shared" si="21"/>
        <v>1.2401491465371083E-3</v>
      </c>
      <c r="AI313" s="32">
        <f t="shared" si="21"/>
        <v>1.4620896718440456E-3</v>
      </c>
      <c r="AJ313" s="32">
        <f t="shared" si="21"/>
        <v>5.5026228149747149E-3</v>
      </c>
      <c r="AK313" s="33">
        <f t="shared" si="20"/>
        <v>1.1140144271938935E-3</v>
      </c>
    </row>
    <row r="314" spans="1:37" x14ac:dyDescent="0.3">
      <c r="A314" t="s">
        <v>73</v>
      </c>
      <c r="B314" s="1">
        <v>2014</v>
      </c>
      <c r="C314" s="1" t="str">
        <f t="shared" si="19"/>
        <v>North Dakota, 2014</v>
      </c>
      <c r="D314" s="27">
        <v>145</v>
      </c>
      <c r="E314" s="27">
        <v>66</v>
      </c>
      <c r="F314" s="27">
        <v>48</v>
      </c>
      <c r="G314" s="27">
        <v>70</v>
      </c>
      <c r="H314" s="27">
        <v>67</v>
      </c>
      <c r="I314" s="27">
        <v>52</v>
      </c>
      <c r="J314" s="27">
        <v>70</v>
      </c>
      <c r="K314" s="27">
        <v>51</v>
      </c>
      <c r="L314" s="27">
        <v>75</v>
      </c>
      <c r="M314" s="27">
        <v>93</v>
      </c>
      <c r="N314" s="27">
        <v>57</v>
      </c>
      <c r="O314" s="28">
        <v>794</v>
      </c>
      <c r="P314" s="29">
        <v>42167.947</v>
      </c>
      <c r="Q314" s="30">
        <v>77328.419999999984</v>
      </c>
      <c r="R314" s="30">
        <v>104331.26699999996</v>
      </c>
      <c r="S314" s="30">
        <v>88800.626000000004</v>
      </c>
      <c r="T314" s="30">
        <v>70839.957999999999</v>
      </c>
      <c r="U314" s="30">
        <v>80562.991000000009</v>
      </c>
      <c r="V314" s="30">
        <v>75817.519000000015</v>
      </c>
      <c r="W314" s="30">
        <v>44116.553</v>
      </c>
      <c r="X314" s="30">
        <v>28288.65500000001</v>
      </c>
      <c r="Y314" s="30">
        <v>13300.830999999998</v>
      </c>
      <c r="Z314" s="31">
        <v>625854</v>
      </c>
      <c r="AA314" s="32">
        <f t="shared" si="22"/>
        <v>3.4386307685313681E-3</v>
      </c>
      <c r="AB314" s="32">
        <f t="shared" si="22"/>
        <v>8.5350250270211151E-4</v>
      </c>
      <c r="AC314" s="32">
        <f t="shared" si="22"/>
        <v>4.6007300956097866E-4</v>
      </c>
      <c r="AD314" s="32">
        <f t="shared" si="22"/>
        <v>7.8828273125011521E-4</v>
      </c>
      <c r="AE314" s="32">
        <f t="shared" si="22"/>
        <v>9.4579389784505525E-4</v>
      </c>
      <c r="AF314" s="32">
        <f t="shared" si="21"/>
        <v>6.4545766430146561E-4</v>
      </c>
      <c r="AG314" s="32">
        <f t="shared" si="21"/>
        <v>9.2326946229933987E-4</v>
      </c>
      <c r="AH314" s="32">
        <f t="shared" si="21"/>
        <v>1.1560286679695941E-3</v>
      </c>
      <c r="AI314" s="32">
        <f t="shared" si="21"/>
        <v>2.6512395163361415E-3</v>
      </c>
      <c r="AJ314" s="32">
        <f t="shared" si="21"/>
        <v>6.9920443316661956E-3</v>
      </c>
      <c r="AK314" s="33">
        <f t="shared" si="20"/>
        <v>1.2686664941024585E-3</v>
      </c>
    </row>
    <row r="315" spans="1:37" x14ac:dyDescent="0.3">
      <c r="A315" t="s">
        <v>73</v>
      </c>
      <c r="B315" s="1">
        <v>2015</v>
      </c>
      <c r="C315" s="1" t="str">
        <f t="shared" si="19"/>
        <v>North Dakota, 2015</v>
      </c>
      <c r="D315" s="27">
        <v>135</v>
      </c>
      <c r="E315" s="27">
        <v>54</v>
      </c>
      <c r="F315" s="27">
        <v>65</v>
      </c>
      <c r="G315" s="27">
        <v>46</v>
      </c>
      <c r="H315" s="27">
        <v>66</v>
      </c>
      <c r="I315" s="27">
        <v>70</v>
      </c>
      <c r="J315" s="27">
        <v>46</v>
      </c>
      <c r="K315" s="27">
        <v>68</v>
      </c>
      <c r="L315" s="27">
        <v>53</v>
      </c>
      <c r="M315" s="27">
        <v>74</v>
      </c>
      <c r="N315" s="27">
        <v>57</v>
      </c>
      <c r="O315" s="28">
        <v>734</v>
      </c>
      <c r="P315" s="29">
        <v>43127.261999999995</v>
      </c>
      <c r="Q315" s="30">
        <v>78366.741999999998</v>
      </c>
      <c r="R315" s="30">
        <v>105290.63300000005</v>
      </c>
      <c r="S315" s="30">
        <v>94521.236999999994</v>
      </c>
      <c r="T315" s="30">
        <v>73528.548999999999</v>
      </c>
      <c r="U315" s="30">
        <v>82781.368000000002</v>
      </c>
      <c r="V315" s="30">
        <v>81547.921999999991</v>
      </c>
      <c r="W315" s="30">
        <v>47611.907999999989</v>
      </c>
      <c r="X315" s="30">
        <v>29217.078999999991</v>
      </c>
      <c r="Y315" s="30">
        <v>14824.952000000003</v>
      </c>
      <c r="Z315" s="31">
        <v>650926</v>
      </c>
      <c r="AA315" s="32">
        <f t="shared" si="22"/>
        <v>3.1302705931111514E-3</v>
      </c>
      <c r="AB315" s="32">
        <f t="shared" si="22"/>
        <v>6.8906781910111823E-4</v>
      </c>
      <c r="AC315" s="32">
        <f t="shared" si="22"/>
        <v>6.1733886622184115E-4</v>
      </c>
      <c r="AD315" s="32">
        <f t="shared" si="22"/>
        <v>4.8666311889252996E-4</v>
      </c>
      <c r="AE315" s="32">
        <f t="shared" si="22"/>
        <v>8.9761053220294065E-4</v>
      </c>
      <c r="AF315" s="32">
        <f t="shared" si="21"/>
        <v>8.4560090864891236E-4</v>
      </c>
      <c r="AG315" s="32">
        <f t="shared" si="21"/>
        <v>5.6408549564267261E-4</v>
      </c>
      <c r="AH315" s="32">
        <f t="shared" si="21"/>
        <v>1.4282141350016894E-3</v>
      </c>
      <c r="AI315" s="32">
        <f t="shared" si="21"/>
        <v>1.8140074851425091E-3</v>
      </c>
      <c r="AJ315" s="32">
        <f t="shared" si="21"/>
        <v>4.9915844584184814E-3</v>
      </c>
      <c r="AK315" s="33">
        <f t="shared" si="20"/>
        <v>1.127624338250431E-3</v>
      </c>
    </row>
    <row r="316" spans="1:37" x14ac:dyDescent="0.3">
      <c r="A316" t="s">
        <v>73</v>
      </c>
      <c r="B316" s="1">
        <v>2016</v>
      </c>
      <c r="C316" s="1" t="str">
        <f t="shared" si="19"/>
        <v>North Dakota, 2016</v>
      </c>
      <c r="D316" s="27">
        <v>94</v>
      </c>
      <c r="E316" s="27">
        <v>53</v>
      </c>
      <c r="F316" s="27">
        <v>67</v>
      </c>
      <c r="G316" s="27">
        <v>48</v>
      </c>
      <c r="H316" s="27">
        <v>51</v>
      </c>
      <c r="I316" s="27">
        <v>57</v>
      </c>
      <c r="J316" s="27">
        <v>66</v>
      </c>
      <c r="K316" s="27">
        <v>62</v>
      </c>
      <c r="L316" s="27">
        <v>39</v>
      </c>
      <c r="M316" s="27">
        <v>49</v>
      </c>
      <c r="N316" s="27">
        <v>46</v>
      </c>
      <c r="O316" s="28">
        <v>632</v>
      </c>
      <c r="P316" s="29">
        <v>38737.259999999995</v>
      </c>
      <c r="Q316" s="30">
        <v>70021.089000000007</v>
      </c>
      <c r="R316" s="30">
        <v>86563.88</v>
      </c>
      <c r="S316" s="30">
        <v>82502.125</v>
      </c>
      <c r="T316" s="30">
        <v>64850.005000000005</v>
      </c>
      <c r="U316" s="30">
        <v>70503.476000000024</v>
      </c>
      <c r="V316" s="30">
        <v>71654.106</v>
      </c>
      <c r="W316" s="30">
        <v>43106.820000000014</v>
      </c>
      <c r="X316" s="30">
        <v>25394.157999999996</v>
      </c>
      <c r="Y316" s="30">
        <v>13554.300000000001</v>
      </c>
      <c r="Z316" s="31">
        <v>566582</v>
      </c>
      <c r="AA316" s="32">
        <f t="shared" si="22"/>
        <v>2.4266042564703859E-3</v>
      </c>
      <c r="AB316" s="32">
        <f t="shared" si="22"/>
        <v>7.5691482033362831E-4</v>
      </c>
      <c r="AC316" s="32">
        <f t="shared" si="22"/>
        <v>7.7399488100579595E-4</v>
      </c>
      <c r="AD316" s="32">
        <f t="shared" si="22"/>
        <v>5.8180319597828545E-4</v>
      </c>
      <c r="AE316" s="32">
        <f t="shared" si="22"/>
        <v>7.8643016295835283E-4</v>
      </c>
      <c r="AF316" s="32">
        <f t="shared" si="21"/>
        <v>8.0847077667489729E-4</v>
      </c>
      <c r="AG316" s="32">
        <f t="shared" si="21"/>
        <v>9.2109166779639953E-4</v>
      </c>
      <c r="AH316" s="32">
        <f t="shared" si="21"/>
        <v>1.4382874913992723E-3</v>
      </c>
      <c r="AI316" s="32">
        <f t="shared" si="21"/>
        <v>1.5357863017155366E-3</v>
      </c>
      <c r="AJ316" s="32">
        <f t="shared" si="21"/>
        <v>3.6150889385656209E-3</v>
      </c>
      <c r="AK316" s="33">
        <f t="shared" si="20"/>
        <v>1.1154607806107501E-3</v>
      </c>
    </row>
    <row r="317" spans="1:37" x14ac:dyDescent="0.3">
      <c r="A317" t="s">
        <v>73</v>
      </c>
      <c r="B317" s="1">
        <v>2017</v>
      </c>
      <c r="C317" s="1" t="str">
        <f t="shared" si="19"/>
        <v>North Dakota, 2017</v>
      </c>
      <c r="D317" s="27">
        <v>112</v>
      </c>
      <c r="E317" s="27">
        <v>69</v>
      </c>
      <c r="F317" s="27">
        <v>60</v>
      </c>
      <c r="G317" s="27">
        <v>50</v>
      </c>
      <c r="H317" s="27">
        <v>38</v>
      </c>
      <c r="I317" s="27">
        <v>49</v>
      </c>
      <c r="J317" s="27">
        <v>51</v>
      </c>
      <c r="K317" s="27">
        <v>45</v>
      </c>
      <c r="L317" s="27">
        <v>57</v>
      </c>
      <c r="M317" s="27">
        <v>68</v>
      </c>
      <c r="N317" s="27">
        <v>31</v>
      </c>
      <c r="O317" s="28">
        <v>630</v>
      </c>
      <c r="P317" s="29">
        <v>46750</v>
      </c>
      <c r="Q317" s="30">
        <v>84566</v>
      </c>
      <c r="R317" s="30">
        <v>110214</v>
      </c>
      <c r="S317" s="30">
        <v>103041</v>
      </c>
      <c r="T317" s="30">
        <v>79225</v>
      </c>
      <c r="U317" s="30">
        <v>82112</v>
      </c>
      <c r="V317" s="30">
        <v>85882</v>
      </c>
      <c r="W317" s="30">
        <v>54624</v>
      </c>
      <c r="X317" s="30">
        <v>31298</v>
      </c>
      <c r="Y317" s="30">
        <v>16103</v>
      </c>
      <c r="Z317" s="31">
        <v>693815</v>
      </c>
      <c r="AA317" s="32">
        <f t="shared" si="22"/>
        <v>2.3957219251336897E-3</v>
      </c>
      <c r="AB317" s="32">
        <f t="shared" si="22"/>
        <v>8.1593075231180376E-4</v>
      </c>
      <c r="AC317" s="32">
        <f t="shared" si="22"/>
        <v>5.4439544885404761E-4</v>
      </c>
      <c r="AD317" s="32">
        <f t="shared" si="22"/>
        <v>4.8524373792956202E-4</v>
      </c>
      <c r="AE317" s="32">
        <f t="shared" si="22"/>
        <v>4.7964657620700536E-4</v>
      </c>
      <c r="AF317" s="32">
        <f t="shared" si="21"/>
        <v>5.9674590802805919E-4</v>
      </c>
      <c r="AG317" s="32">
        <f t="shared" si="21"/>
        <v>5.9383805686872681E-4</v>
      </c>
      <c r="AH317" s="32">
        <f t="shared" si="21"/>
        <v>8.2381370826010547E-4</v>
      </c>
      <c r="AI317" s="32">
        <f t="shared" si="21"/>
        <v>1.8212026327560867E-3</v>
      </c>
      <c r="AJ317" s="32">
        <f t="shared" si="21"/>
        <v>4.2228156244178104E-3</v>
      </c>
      <c r="AK317" s="33">
        <f t="shared" si="20"/>
        <v>9.0802303207627392E-4</v>
      </c>
    </row>
    <row r="318" spans="1:37" x14ac:dyDescent="0.3">
      <c r="A318" t="s">
        <v>74</v>
      </c>
      <c r="B318" s="1">
        <v>2009</v>
      </c>
      <c r="C318" s="1" t="str">
        <f t="shared" si="19"/>
        <v>Ohio, 2009</v>
      </c>
      <c r="D318" s="27">
        <v>98</v>
      </c>
      <c r="E318" s="27">
        <v>64</v>
      </c>
      <c r="F318" s="27">
        <v>56</v>
      </c>
      <c r="G318" s="27">
        <v>78</v>
      </c>
      <c r="H318" s="27">
        <v>69</v>
      </c>
      <c r="I318" s="27">
        <v>106</v>
      </c>
      <c r="J318" s="27">
        <v>158</v>
      </c>
      <c r="K318" s="27">
        <v>245</v>
      </c>
      <c r="L318" s="27">
        <v>570</v>
      </c>
      <c r="M318" s="27">
        <v>825</v>
      </c>
      <c r="N318" s="27">
        <v>50</v>
      </c>
      <c r="O318" s="28">
        <v>2319</v>
      </c>
      <c r="P318" s="29">
        <v>737234.78499999945</v>
      </c>
      <c r="Q318" s="30">
        <v>1520464.7239999995</v>
      </c>
      <c r="R318" s="30">
        <v>1550587.9070000004</v>
      </c>
      <c r="S318" s="30">
        <v>1462744.3209999995</v>
      </c>
      <c r="T318" s="30">
        <v>1585350.2919999997</v>
      </c>
      <c r="U318" s="30">
        <v>1737749.5599999998</v>
      </c>
      <c r="V318" s="30">
        <v>1296379.6649999998</v>
      </c>
      <c r="W318" s="30">
        <v>793425.80100000009</v>
      </c>
      <c r="X318" s="30">
        <v>551716.94999999995</v>
      </c>
      <c r="Y318" s="30">
        <v>212146.69900000008</v>
      </c>
      <c r="Z318" s="31">
        <v>11448785</v>
      </c>
      <c r="AA318" s="32">
        <f t="shared" si="22"/>
        <v>1.3292915906023083E-4</v>
      </c>
      <c r="AB318" s="32">
        <f t="shared" si="22"/>
        <v>4.2092393851552469E-5</v>
      </c>
      <c r="AC318" s="32">
        <f t="shared" si="22"/>
        <v>3.6115333898318597E-5</v>
      </c>
      <c r="AD318" s="32">
        <f t="shared" si="22"/>
        <v>5.3324425109834372E-5</v>
      </c>
      <c r="AE318" s="32">
        <f t="shared" si="22"/>
        <v>4.3523504141758481E-5</v>
      </c>
      <c r="AF318" s="32">
        <f t="shared" si="21"/>
        <v>6.0998432938748675E-5</v>
      </c>
      <c r="AG318" s="32">
        <f t="shared" si="21"/>
        <v>1.2187787595387809E-4</v>
      </c>
      <c r="AH318" s="32">
        <f t="shared" si="21"/>
        <v>3.0878753840776595E-4</v>
      </c>
      <c r="AI318" s="32">
        <f t="shared" si="21"/>
        <v>1.0331384598569974E-3</v>
      </c>
      <c r="AJ318" s="32">
        <f t="shared" si="21"/>
        <v>3.8888184633030735E-3</v>
      </c>
      <c r="AK318" s="33">
        <f t="shared" si="20"/>
        <v>2.0255424483908116E-4</v>
      </c>
    </row>
    <row r="319" spans="1:37" x14ac:dyDescent="0.3">
      <c r="A319" t="s">
        <v>74</v>
      </c>
      <c r="B319" s="1">
        <v>2010</v>
      </c>
      <c r="C319" s="1" t="str">
        <f t="shared" si="19"/>
        <v>Ohio, 2010</v>
      </c>
      <c r="D319" s="27">
        <v>130</v>
      </c>
      <c r="E319" s="27">
        <v>51</v>
      </c>
      <c r="F319" s="27">
        <v>58</v>
      </c>
      <c r="G319" s="27">
        <v>54</v>
      </c>
      <c r="H319" s="27">
        <v>50</v>
      </c>
      <c r="I319" s="27">
        <v>76</v>
      </c>
      <c r="J319" s="27">
        <v>164</v>
      </c>
      <c r="K319" s="27">
        <v>244</v>
      </c>
      <c r="L319" s="27">
        <v>532</v>
      </c>
      <c r="M319" s="27">
        <v>893</v>
      </c>
      <c r="N319" s="27">
        <v>69</v>
      </c>
      <c r="O319" s="28">
        <v>2321</v>
      </c>
      <c r="P319" s="29">
        <v>719474.67300000007</v>
      </c>
      <c r="Q319" s="30">
        <v>1525643.2009999994</v>
      </c>
      <c r="R319" s="30">
        <v>1597198.1230000004</v>
      </c>
      <c r="S319" s="30">
        <v>1405339.5939999998</v>
      </c>
      <c r="T319" s="30">
        <v>1531893.59</v>
      </c>
      <c r="U319" s="30">
        <v>1729043.294</v>
      </c>
      <c r="V319" s="30">
        <v>1353099.8849999995</v>
      </c>
      <c r="W319" s="30">
        <v>810534.75800000003</v>
      </c>
      <c r="X319" s="30">
        <v>546574.98499999987</v>
      </c>
      <c r="Y319" s="30">
        <v>215875.08199999999</v>
      </c>
      <c r="Z319" s="31">
        <v>11437087</v>
      </c>
      <c r="AA319" s="32">
        <f t="shared" si="22"/>
        <v>1.8068738883877291E-4</v>
      </c>
      <c r="AB319" s="32">
        <f t="shared" si="22"/>
        <v>3.3428523763991148E-5</v>
      </c>
      <c r="AC319" s="32">
        <f t="shared" si="22"/>
        <v>3.6313591385306173E-5</v>
      </c>
      <c r="AD319" s="32">
        <f t="shared" si="22"/>
        <v>3.8424876258058386E-5</v>
      </c>
      <c r="AE319" s="32">
        <f t="shared" si="22"/>
        <v>3.2639342788816026E-5</v>
      </c>
      <c r="AF319" s="32">
        <f t="shared" si="21"/>
        <v>4.3954943328330563E-5</v>
      </c>
      <c r="AG319" s="32">
        <f t="shared" si="21"/>
        <v>1.2120317340800014E-4</v>
      </c>
      <c r="AH319" s="32">
        <f t="shared" si="21"/>
        <v>3.0103582553581246E-4</v>
      </c>
      <c r="AI319" s="32">
        <f t="shared" si="21"/>
        <v>9.7333396990350761E-4</v>
      </c>
      <c r="AJ319" s="32">
        <f t="shared" si="21"/>
        <v>4.1366515844566071E-3</v>
      </c>
      <c r="AK319" s="33">
        <f t="shared" si="20"/>
        <v>2.0293628963389016E-4</v>
      </c>
    </row>
    <row r="320" spans="1:37" x14ac:dyDescent="0.3">
      <c r="A320" t="s">
        <v>74</v>
      </c>
      <c r="B320" s="1">
        <v>2011</v>
      </c>
      <c r="C320" s="1" t="str">
        <f t="shared" si="19"/>
        <v>Ohio, 2011</v>
      </c>
      <c r="D320" s="27">
        <v>114</v>
      </c>
      <c r="E320" s="27">
        <v>46</v>
      </c>
      <c r="F320" s="27">
        <v>76</v>
      </c>
      <c r="G320" s="27">
        <v>60</v>
      </c>
      <c r="H320" s="27">
        <v>58</v>
      </c>
      <c r="I320" s="27">
        <v>105</v>
      </c>
      <c r="J320" s="27">
        <v>184</v>
      </c>
      <c r="K320" s="27">
        <v>275</v>
      </c>
      <c r="L320" s="27">
        <v>592</v>
      </c>
      <c r="M320" s="27">
        <v>1025</v>
      </c>
      <c r="N320" s="27">
        <v>71</v>
      </c>
      <c r="O320" s="28">
        <v>2606</v>
      </c>
      <c r="P320" s="29">
        <v>715618.47200000007</v>
      </c>
      <c r="Q320" s="30">
        <v>1514724.1429999999</v>
      </c>
      <c r="R320" s="30">
        <v>1570003.108</v>
      </c>
      <c r="S320" s="30">
        <v>1405731.0669999998</v>
      </c>
      <c r="T320" s="30">
        <v>1500646.4820000001</v>
      </c>
      <c r="U320" s="30">
        <v>1725324.3439999993</v>
      </c>
      <c r="V320" s="30">
        <v>1398263.3050000002</v>
      </c>
      <c r="W320" s="30">
        <v>826625.07000000007</v>
      </c>
      <c r="X320" s="30">
        <v>541101.63399999985</v>
      </c>
      <c r="Y320" s="30">
        <v>221119.26599999989</v>
      </c>
      <c r="Z320" s="31">
        <v>11423648</v>
      </c>
      <c r="AA320" s="32">
        <f t="shared" si="22"/>
        <v>1.5930276321877838E-4</v>
      </c>
      <c r="AB320" s="32">
        <f t="shared" si="22"/>
        <v>3.0368565928377099E-5</v>
      </c>
      <c r="AC320" s="32">
        <f t="shared" si="22"/>
        <v>4.840754748365759E-5</v>
      </c>
      <c r="AD320" s="32">
        <f t="shared" si="22"/>
        <v>4.2682417290561313E-5</v>
      </c>
      <c r="AE320" s="32">
        <f t="shared" si="22"/>
        <v>3.8650008976597858E-5</v>
      </c>
      <c r="AF320" s="32">
        <f t="shared" si="21"/>
        <v>6.085812233806865E-5</v>
      </c>
      <c r="AG320" s="32">
        <f t="shared" si="21"/>
        <v>1.3159181059964952E-4</v>
      </c>
      <c r="AH320" s="32">
        <f t="shared" si="21"/>
        <v>3.3267803019814047E-4</v>
      </c>
      <c r="AI320" s="32">
        <f t="shared" si="21"/>
        <v>1.0940643361649878E-3</v>
      </c>
      <c r="AJ320" s="32">
        <f t="shared" si="21"/>
        <v>4.6355074279235374E-3</v>
      </c>
      <c r="AK320" s="33">
        <f t="shared" si="20"/>
        <v>2.2812327550708844E-4</v>
      </c>
    </row>
    <row r="321" spans="1:37" x14ac:dyDescent="0.3">
      <c r="A321" t="s">
        <v>74</v>
      </c>
      <c r="B321" s="1">
        <v>2012</v>
      </c>
      <c r="C321" s="1" t="str">
        <f t="shared" si="19"/>
        <v>Ohio, 2012</v>
      </c>
      <c r="D321" s="27">
        <v>108</v>
      </c>
      <c r="E321" s="27">
        <v>62</v>
      </c>
      <c r="F321" s="27">
        <v>60</v>
      </c>
      <c r="G321" s="27">
        <v>57</v>
      </c>
      <c r="H321" s="27">
        <v>43</v>
      </c>
      <c r="I321" s="27">
        <v>62</v>
      </c>
      <c r="J321" s="27">
        <v>169</v>
      </c>
      <c r="K321" s="27">
        <v>254</v>
      </c>
      <c r="L321" s="27">
        <v>574</v>
      </c>
      <c r="M321" s="27">
        <v>1053</v>
      </c>
      <c r="N321" s="27">
        <v>49</v>
      </c>
      <c r="O321" s="28">
        <v>2491</v>
      </c>
      <c r="P321" s="29">
        <v>703301.87200000056</v>
      </c>
      <c r="Q321" s="30">
        <v>1500270.4989999994</v>
      </c>
      <c r="R321" s="30">
        <v>1567710.9790000001</v>
      </c>
      <c r="S321" s="30">
        <v>1409455.9790000001</v>
      </c>
      <c r="T321" s="30">
        <v>1467493.39</v>
      </c>
      <c r="U321" s="30">
        <v>1706270.7060000005</v>
      </c>
      <c r="V321" s="30">
        <v>1439027.9269999999</v>
      </c>
      <c r="W321" s="30">
        <v>850556.59500000009</v>
      </c>
      <c r="X321" s="30">
        <v>538197.46499999973</v>
      </c>
      <c r="Y321" s="30">
        <v>228884.58899999992</v>
      </c>
      <c r="Z321" s="31">
        <v>11411140</v>
      </c>
      <c r="AA321" s="32">
        <f t="shared" si="22"/>
        <v>1.5356137143909083E-4</v>
      </c>
      <c r="AB321" s="32">
        <f t="shared" si="22"/>
        <v>4.1325880927023434E-5</v>
      </c>
      <c r="AC321" s="32">
        <f t="shared" si="22"/>
        <v>3.8272360660682724E-5</v>
      </c>
      <c r="AD321" s="32">
        <f t="shared" si="22"/>
        <v>4.0441135338218322E-5</v>
      </c>
      <c r="AE321" s="32">
        <f t="shared" si="22"/>
        <v>2.9301665202049056E-5</v>
      </c>
      <c r="AF321" s="32">
        <f t="shared" si="21"/>
        <v>3.6336555378921203E-5</v>
      </c>
      <c r="AG321" s="32">
        <f t="shared" si="21"/>
        <v>1.1744038932748246E-4</v>
      </c>
      <c r="AH321" s="32">
        <f t="shared" si="21"/>
        <v>2.9862798253889263E-4</v>
      </c>
      <c r="AI321" s="32">
        <f t="shared" si="21"/>
        <v>1.0665230465178803E-3</v>
      </c>
      <c r="AJ321" s="32">
        <f t="shared" si="21"/>
        <v>4.6005718628788954E-3</v>
      </c>
      <c r="AK321" s="33">
        <f t="shared" si="20"/>
        <v>2.1829545514295679E-4</v>
      </c>
    </row>
    <row r="322" spans="1:37" x14ac:dyDescent="0.3">
      <c r="A322" t="s">
        <v>74</v>
      </c>
      <c r="B322" s="1">
        <v>2013</v>
      </c>
      <c r="C322" s="1" t="str">
        <f t="shared" si="19"/>
        <v>Ohio, 2013</v>
      </c>
      <c r="D322" s="27">
        <v>105</v>
      </c>
      <c r="E322" s="27">
        <v>78</v>
      </c>
      <c r="F322" s="27">
        <v>43</v>
      </c>
      <c r="G322" s="27">
        <v>65</v>
      </c>
      <c r="H322" s="27">
        <v>52</v>
      </c>
      <c r="I322" s="27">
        <v>69</v>
      </c>
      <c r="J322" s="27">
        <v>217</v>
      </c>
      <c r="K322" s="27">
        <v>310</v>
      </c>
      <c r="L322" s="27">
        <v>641</v>
      </c>
      <c r="M322" s="27">
        <v>1054</v>
      </c>
      <c r="N322" s="27">
        <v>60</v>
      </c>
      <c r="O322" s="28">
        <v>2694</v>
      </c>
      <c r="P322" s="29">
        <v>680530.55900000001</v>
      </c>
      <c r="Q322" s="30">
        <v>1456273.0420000001</v>
      </c>
      <c r="R322" s="30">
        <v>1533082.3339999998</v>
      </c>
      <c r="S322" s="30">
        <v>1380787.1040000005</v>
      </c>
      <c r="T322" s="30">
        <v>1405679.3469999998</v>
      </c>
      <c r="U322" s="30">
        <v>1642575.0860000001</v>
      </c>
      <c r="V322" s="30">
        <v>1442226.2169999999</v>
      </c>
      <c r="W322" s="30">
        <v>856027.79400000034</v>
      </c>
      <c r="X322" s="30">
        <v>520962.25299999991</v>
      </c>
      <c r="Y322" s="30">
        <v>228216.09900000007</v>
      </c>
      <c r="Z322" s="31">
        <v>11150800</v>
      </c>
      <c r="AA322" s="32">
        <f t="shared" si="22"/>
        <v>1.5429138135147286E-4</v>
      </c>
      <c r="AB322" s="32">
        <f t="shared" si="22"/>
        <v>5.3561384266838602E-5</v>
      </c>
      <c r="AC322" s="32">
        <f t="shared" si="22"/>
        <v>2.8048069595719446E-5</v>
      </c>
      <c r="AD322" s="32">
        <f t="shared" si="22"/>
        <v>4.7074599561149999E-5</v>
      </c>
      <c r="AE322" s="32">
        <f t="shared" si="22"/>
        <v>3.6992789366208141E-5</v>
      </c>
      <c r="AF322" s="32">
        <f t="shared" si="21"/>
        <v>4.2007212083088904E-5</v>
      </c>
      <c r="AG322" s="32">
        <f t="shared" si="21"/>
        <v>1.504618328540619E-4</v>
      </c>
      <c r="AH322" s="32">
        <f t="shared" si="21"/>
        <v>3.6213777423212953E-4</v>
      </c>
      <c r="AI322" s="32">
        <f t="shared" si="21"/>
        <v>1.230415440482979E-3</v>
      </c>
      <c r="AJ322" s="32">
        <f t="shared" si="21"/>
        <v>4.6184296577604705E-3</v>
      </c>
      <c r="AK322" s="33">
        <f t="shared" si="20"/>
        <v>2.4159701546077412E-4</v>
      </c>
    </row>
    <row r="323" spans="1:37" x14ac:dyDescent="0.3">
      <c r="A323" t="s">
        <v>74</v>
      </c>
      <c r="B323" s="1">
        <v>2014</v>
      </c>
      <c r="C323" s="1" t="str">
        <f t="shared" si="19"/>
        <v>Ohio, 2014</v>
      </c>
      <c r="D323" s="27">
        <v>126</v>
      </c>
      <c r="E323" s="27">
        <v>61</v>
      </c>
      <c r="F323" s="27">
        <v>64</v>
      </c>
      <c r="G323" s="27">
        <v>33</v>
      </c>
      <c r="H323" s="27">
        <v>63</v>
      </c>
      <c r="I323" s="27">
        <v>111</v>
      </c>
      <c r="J323" s="27">
        <v>222</v>
      </c>
      <c r="K323" s="27">
        <v>360</v>
      </c>
      <c r="L323" s="27">
        <v>590</v>
      </c>
      <c r="M323" s="27">
        <v>1075</v>
      </c>
      <c r="N323" s="27">
        <v>54</v>
      </c>
      <c r="O323" s="28">
        <v>2759</v>
      </c>
      <c r="P323" s="29">
        <v>690998.47100000014</v>
      </c>
      <c r="Q323" s="30">
        <v>1480248.6669999997</v>
      </c>
      <c r="R323" s="30">
        <v>1560553.4919999994</v>
      </c>
      <c r="S323" s="30">
        <v>1424607.2210000001</v>
      </c>
      <c r="T323" s="30">
        <v>1421436.4280000003</v>
      </c>
      <c r="U323" s="30">
        <v>1650826.8289999997</v>
      </c>
      <c r="V323" s="30">
        <v>1508945.7869999993</v>
      </c>
      <c r="W323" s="30">
        <v>911098.80199999979</v>
      </c>
      <c r="X323" s="30">
        <v>530556.88299999968</v>
      </c>
      <c r="Y323" s="30">
        <v>238224.83199999999</v>
      </c>
      <c r="Z323" s="31">
        <v>11417770</v>
      </c>
      <c r="AA323" s="32">
        <f t="shared" si="22"/>
        <v>1.8234483184551066E-4</v>
      </c>
      <c r="AB323" s="32">
        <f t="shared" si="22"/>
        <v>4.1209292303318124E-5</v>
      </c>
      <c r="AC323" s="32">
        <f t="shared" si="22"/>
        <v>4.1011090185686519E-5</v>
      </c>
      <c r="AD323" s="32">
        <f t="shared" si="22"/>
        <v>2.3164279608828401E-5</v>
      </c>
      <c r="AE323" s="32">
        <f t="shared" si="22"/>
        <v>4.4321363065559474E-5</v>
      </c>
      <c r="AF323" s="32">
        <f t="shared" si="21"/>
        <v>6.7239033222666396E-5</v>
      </c>
      <c r="AG323" s="32">
        <f t="shared" si="21"/>
        <v>1.4712258181347114E-4</v>
      </c>
      <c r="AH323" s="32">
        <f t="shared" si="21"/>
        <v>3.9512728938919192E-4</v>
      </c>
      <c r="AI323" s="32">
        <f t="shared" si="21"/>
        <v>1.1120391025065644E-3</v>
      </c>
      <c r="AJ323" s="32">
        <f t="shared" si="21"/>
        <v>4.5125438476539678E-3</v>
      </c>
      <c r="AK323" s="33">
        <f t="shared" si="20"/>
        <v>2.4164088083750154E-4</v>
      </c>
    </row>
    <row r="324" spans="1:37" x14ac:dyDescent="0.3">
      <c r="A324" t="s">
        <v>74</v>
      </c>
      <c r="B324" s="1">
        <v>2015</v>
      </c>
      <c r="C324" s="1" t="str">
        <f t="shared" ref="C324:C387" si="23">A324&amp;", "&amp;B324</f>
        <v>Ohio, 2015</v>
      </c>
      <c r="D324" s="27">
        <v>133</v>
      </c>
      <c r="E324" s="27">
        <v>55</v>
      </c>
      <c r="F324" s="27">
        <v>57</v>
      </c>
      <c r="G324" s="27">
        <v>39</v>
      </c>
      <c r="H324" s="27">
        <v>68</v>
      </c>
      <c r="I324" s="27">
        <v>91</v>
      </c>
      <c r="J324" s="27">
        <v>204</v>
      </c>
      <c r="K324" s="27">
        <v>361</v>
      </c>
      <c r="L324" s="27">
        <v>596</v>
      </c>
      <c r="M324" s="27">
        <v>1136</v>
      </c>
      <c r="N324" s="27">
        <v>39</v>
      </c>
      <c r="O324" s="28">
        <v>2779</v>
      </c>
      <c r="P324" s="29">
        <v>659677.37300000049</v>
      </c>
      <c r="Q324" s="30">
        <v>1406855.3670000001</v>
      </c>
      <c r="R324" s="30">
        <v>1476513.6209999991</v>
      </c>
      <c r="S324" s="30">
        <v>1380235.9529999997</v>
      </c>
      <c r="T324" s="30">
        <v>1349524.6169999999</v>
      </c>
      <c r="U324" s="30">
        <v>1550678.5759999999</v>
      </c>
      <c r="V324" s="30">
        <v>1470481.1919999998</v>
      </c>
      <c r="W324" s="30">
        <v>910001.02899999998</v>
      </c>
      <c r="X324" s="30">
        <v>509106.52799999999</v>
      </c>
      <c r="Y324" s="30">
        <v>235302.70799999996</v>
      </c>
      <c r="Z324" s="31">
        <v>10950051</v>
      </c>
      <c r="AA324" s="32">
        <f t="shared" si="22"/>
        <v>2.0161370609872336E-4</v>
      </c>
      <c r="AB324" s="32">
        <f t="shared" si="22"/>
        <v>3.909428167963196E-5</v>
      </c>
      <c r="AC324" s="32">
        <f t="shared" si="22"/>
        <v>3.8604452535558449E-5</v>
      </c>
      <c r="AD324" s="32">
        <f t="shared" si="22"/>
        <v>2.8256038335497559E-5</v>
      </c>
      <c r="AE324" s="32">
        <f t="shared" si="22"/>
        <v>5.0388113816822658E-5</v>
      </c>
      <c r="AF324" s="32">
        <f t="shared" si="21"/>
        <v>5.8683986100289044E-5</v>
      </c>
      <c r="AG324" s="32">
        <f t="shared" si="21"/>
        <v>1.3873009808615085E-4</v>
      </c>
      <c r="AH324" s="32">
        <f t="shared" si="21"/>
        <v>3.967028481239223E-4</v>
      </c>
      <c r="AI324" s="32">
        <f t="shared" si="21"/>
        <v>1.1706783693019155E-3</v>
      </c>
      <c r="AJ324" s="32">
        <f t="shared" si="21"/>
        <v>4.8278237409830416E-3</v>
      </c>
      <c r="AK324" s="33">
        <f t="shared" ref="AK324:AK387" si="24">O324/Z324</f>
        <v>2.537887723080011E-4</v>
      </c>
    </row>
    <row r="325" spans="1:37" x14ac:dyDescent="0.3">
      <c r="A325" t="s">
        <v>74</v>
      </c>
      <c r="B325" s="1">
        <v>2016</v>
      </c>
      <c r="C325" s="1" t="str">
        <f t="shared" si="23"/>
        <v>Ohio, 2016</v>
      </c>
      <c r="D325" s="27">
        <v>129</v>
      </c>
      <c r="E325" s="27">
        <v>32</v>
      </c>
      <c r="F325" s="27">
        <v>58</v>
      </c>
      <c r="G325" s="27">
        <v>60</v>
      </c>
      <c r="H325" s="27">
        <v>55</v>
      </c>
      <c r="I325" s="27">
        <v>72</v>
      </c>
      <c r="J325" s="27">
        <v>216</v>
      </c>
      <c r="K325" s="27">
        <v>355</v>
      </c>
      <c r="L325" s="27">
        <v>539</v>
      </c>
      <c r="M325" s="27">
        <v>879</v>
      </c>
      <c r="N325" s="27">
        <v>55</v>
      </c>
      <c r="O325" s="28">
        <v>2450</v>
      </c>
      <c r="P325" s="29">
        <v>669524.25899999996</v>
      </c>
      <c r="Q325" s="30">
        <v>1420811.8949999993</v>
      </c>
      <c r="R325" s="30">
        <v>1506811.8659999999</v>
      </c>
      <c r="S325" s="30">
        <v>1418936.7230000005</v>
      </c>
      <c r="T325" s="30">
        <v>1353831.3480000002</v>
      </c>
      <c r="U325" s="30">
        <v>1543724.2480000001</v>
      </c>
      <c r="V325" s="30">
        <v>1513122.348</v>
      </c>
      <c r="W325" s="30">
        <v>970667.97300000011</v>
      </c>
      <c r="X325" s="30">
        <v>520678.23699999991</v>
      </c>
      <c r="Y325" s="30">
        <v>241759.81399999998</v>
      </c>
      <c r="Z325" s="31">
        <v>11158982</v>
      </c>
      <c r="AA325" s="32">
        <f t="shared" si="22"/>
        <v>1.9267412385127631E-4</v>
      </c>
      <c r="AB325" s="32">
        <f t="shared" si="22"/>
        <v>2.2522333964553425E-5</v>
      </c>
      <c r="AC325" s="32">
        <f t="shared" si="22"/>
        <v>3.8491865712451197E-5</v>
      </c>
      <c r="AD325" s="32">
        <f t="shared" si="22"/>
        <v>4.2285183706532333E-5</v>
      </c>
      <c r="AE325" s="32">
        <f t="shared" si="22"/>
        <v>4.0625444285398528E-5</v>
      </c>
      <c r="AF325" s="32">
        <f t="shared" si="21"/>
        <v>4.6640454144113436E-5</v>
      </c>
      <c r="AG325" s="32">
        <f t="shared" si="21"/>
        <v>1.4275117956290999E-4</v>
      </c>
      <c r="AH325" s="32">
        <f t="shared" si="21"/>
        <v>3.6572752977809432E-4</v>
      </c>
      <c r="AI325" s="32">
        <f t="shared" si="21"/>
        <v>1.0351882634956377E-3</v>
      </c>
      <c r="AJ325" s="32">
        <f t="shared" si="21"/>
        <v>3.6358399911740505E-3</v>
      </c>
      <c r="AK325" s="33">
        <f t="shared" si="24"/>
        <v>2.1955407760313619E-4</v>
      </c>
    </row>
    <row r="326" spans="1:37" x14ac:dyDescent="0.3">
      <c r="A326" t="s">
        <v>74</v>
      </c>
      <c r="B326" s="1">
        <v>2017</v>
      </c>
      <c r="C326" s="1" t="str">
        <f t="shared" si="23"/>
        <v>Ohio, 2017</v>
      </c>
      <c r="D326" s="27">
        <v>95</v>
      </c>
      <c r="E326" s="27">
        <v>68</v>
      </c>
      <c r="F326" s="27">
        <v>37</v>
      </c>
      <c r="G326" s="27">
        <v>55</v>
      </c>
      <c r="H326" s="27">
        <v>46</v>
      </c>
      <c r="I326" s="27">
        <v>73</v>
      </c>
      <c r="J326" s="27">
        <v>207</v>
      </c>
      <c r="K326" s="27">
        <v>381</v>
      </c>
      <c r="L326" s="27">
        <v>544</v>
      </c>
      <c r="M326" s="27">
        <v>963</v>
      </c>
      <c r="N326" s="27">
        <v>50</v>
      </c>
      <c r="O326" s="28">
        <v>2519</v>
      </c>
      <c r="P326" s="29">
        <v>669001</v>
      </c>
      <c r="Q326" s="30">
        <v>1407345</v>
      </c>
      <c r="R326" s="30">
        <v>1501174</v>
      </c>
      <c r="S326" s="30">
        <v>1430699</v>
      </c>
      <c r="T326" s="30">
        <v>1340176</v>
      </c>
      <c r="U326" s="30">
        <v>1509323</v>
      </c>
      <c r="V326" s="30">
        <v>1523495</v>
      </c>
      <c r="W326" s="30">
        <v>1000324</v>
      </c>
      <c r="X326" s="30">
        <v>524811</v>
      </c>
      <c r="Y326" s="30">
        <v>243371</v>
      </c>
      <c r="Z326" s="31">
        <v>11149719</v>
      </c>
      <c r="AA326" s="32">
        <f t="shared" si="22"/>
        <v>1.420027772753703E-4</v>
      </c>
      <c r="AB326" s="32">
        <f t="shared" si="22"/>
        <v>4.8317931992510719E-5</v>
      </c>
      <c r="AC326" s="32">
        <f t="shared" si="22"/>
        <v>2.4647375987060794E-5</v>
      </c>
      <c r="AD326" s="32">
        <f t="shared" si="22"/>
        <v>3.8442747216570359E-5</v>
      </c>
      <c r="AE326" s="32">
        <f t="shared" si="22"/>
        <v>3.4323850001790812E-5</v>
      </c>
      <c r="AF326" s="32">
        <f t="shared" si="21"/>
        <v>4.8366055509655653E-5</v>
      </c>
      <c r="AG326" s="32">
        <f t="shared" si="21"/>
        <v>1.358717947876429E-4</v>
      </c>
      <c r="AH326" s="32">
        <f t="shared" si="21"/>
        <v>3.8087659598290153E-4</v>
      </c>
      <c r="AI326" s="32">
        <f t="shared" si="21"/>
        <v>1.0365636391005523E-3</v>
      </c>
      <c r="AJ326" s="32">
        <f t="shared" si="21"/>
        <v>3.956921736772253E-3</v>
      </c>
      <c r="AK326" s="33">
        <f t="shared" si="24"/>
        <v>2.2592497622585825E-4</v>
      </c>
    </row>
    <row r="327" spans="1:37" x14ac:dyDescent="0.3">
      <c r="A327" t="s">
        <v>75</v>
      </c>
      <c r="B327" s="1">
        <v>2009</v>
      </c>
      <c r="C327" s="1" t="str">
        <f t="shared" si="23"/>
        <v>Oklahoma, 2009</v>
      </c>
      <c r="D327" s="27">
        <v>96</v>
      </c>
      <c r="E327" s="27">
        <v>78</v>
      </c>
      <c r="F327" s="27">
        <v>63</v>
      </c>
      <c r="G327" s="27">
        <v>66</v>
      </c>
      <c r="H327" s="27">
        <v>54</v>
      </c>
      <c r="I327" s="27">
        <v>64</v>
      </c>
      <c r="J327" s="27">
        <v>71</v>
      </c>
      <c r="K327" s="27">
        <v>107</v>
      </c>
      <c r="L327" s="27">
        <v>234</v>
      </c>
      <c r="M327" s="27">
        <v>326</v>
      </c>
      <c r="N327" s="27">
        <v>60</v>
      </c>
      <c r="O327" s="28">
        <v>1219</v>
      </c>
      <c r="P327" s="29">
        <v>258213.86299999998</v>
      </c>
      <c r="Q327" s="30">
        <v>484266.20000000007</v>
      </c>
      <c r="R327" s="30">
        <v>535193.098</v>
      </c>
      <c r="S327" s="30">
        <v>477054.06300000008</v>
      </c>
      <c r="T327" s="30">
        <v>460877.55400000006</v>
      </c>
      <c r="U327" s="30">
        <v>500837.42099999991</v>
      </c>
      <c r="V327" s="30">
        <v>391958.25799999986</v>
      </c>
      <c r="W327" s="30">
        <v>252411.47599999997</v>
      </c>
      <c r="X327" s="30">
        <v>164486.84400000001</v>
      </c>
      <c r="Y327" s="30">
        <v>60693.196000000004</v>
      </c>
      <c r="Z327" s="31">
        <v>3585543</v>
      </c>
      <c r="AA327" s="32">
        <f t="shared" si="22"/>
        <v>3.7178484100212699E-4</v>
      </c>
      <c r="AB327" s="32">
        <f t="shared" si="22"/>
        <v>1.6106843715295429E-4</v>
      </c>
      <c r="AC327" s="32">
        <f t="shared" si="22"/>
        <v>1.1771452254416032E-4</v>
      </c>
      <c r="AD327" s="32">
        <f t="shared" si="22"/>
        <v>1.3834909943949054E-4</v>
      </c>
      <c r="AE327" s="32">
        <f t="shared" si="22"/>
        <v>1.1716778031676499E-4</v>
      </c>
      <c r="AF327" s="32">
        <f t="shared" si="21"/>
        <v>1.2778597867590252E-4</v>
      </c>
      <c r="AG327" s="32">
        <f t="shared" si="21"/>
        <v>1.8114173780209021E-4</v>
      </c>
      <c r="AH327" s="32">
        <f t="shared" si="21"/>
        <v>4.239109952354148E-4</v>
      </c>
      <c r="AI327" s="32">
        <f t="shared" si="21"/>
        <v>1.4226061751175675E-3</v>
      </c>
      <c r="AJ327" s="32">
        <f t="shared" si="21"/>
        <v>5.3712775316692831E-3</v>
      </c>
      <c r="AK327" s="33">
        <f t="shared" si="24"/>
        <v>3.3997639966945034E-4</v>
      </c>
    </row>
    <row r="328" spans="1:37" x14ac:dyDescent="0.3">
      <c r="A328" t="s">
        <v>75</v>
      </c>
      <c r="B328" s="1">
        <v>2010</v>
      </c>
      <c r="C328" s="1" t="str">
        <f t="shared" si="23"/>
        <v>Oklahoma, 2010</v>
      </c>
      <c r="D328" s="27">
        <v>133</v>
      </c>
      <c r="E328" s="27">
        <v>53</v>
      </c>
      <c r="F328" s="27">
        <v>69</v>
      </c>
      <c r="G328" s="27">
        <v>46</v>
      </c>
      <c r="H328" s="27">
        <v>69</v>
      </c>
      <c r="I328" s="27">
        <v>57</v>
      </c>
      <c r="J328" s="27">
        <v>70</v>
      </c>
      <c r="K328" s="27">
        <v>93</v>
      </c>
      <c r="L328" s="27">
        <v>225</v>
      </c>
      <c r="M328" s="27">
        <v>298</v>
      </c>
      <c r="N328" s="27">
        <v>49</v>
      </c>
      <c r="O328" s="28">
        <v>1162</v>
      </c>
      <c r="P328" s="29">
        <v>252827.17399999994</v>
      </c>
      <c r="Q328" s="30">
        <v>493406.14800000022</v>
      </c>
      <c r="R328" s="30">
        <v>530223.79700000002</v>
      </c>
      <c r="S328" s="30">
        <v>476776.53999999992</v>
      </c>
      <c r="T328" s="30">
        <v>460597.19</v>
      </c>
      <c r="U328" s="30">
        <v>511274.09499999997</v>
      </c>
      <c r="V328" s="30">
        <v>409647.16499999992</v>
      </c>
      <c r="W328" s="30">
        <v>261882.36099999995</v>
      </c>
      <c r="X328" s="30">
        <v>158684.66100000002</v>
      </c>
      <c r="Y328" s="30">
        <v>58654.149999999987</v>
      </c>
      <c r="Z328" s="31">
        <v>3615036</v>
      </c>
      <c r="AA328" s="32">
        <f t="shared" si="22"/>
        <v>5.2605104861077961E-4</v>
      </c>
      <c r="AB328" s="32">
        <f t="shared" si="22"/>
        <v>1.0741657803582937E-4</v>
      </c>
      <c r="AC328" s="32">
        <f t="shared" si="22"/>
        <v>1.3013372917323061E-4</v>
      </c>
      <c r="AD328" s="32">
        <f t="shared" si="22"/>
        <v>9.6481257236356483E-5</v>
      </c>
      <c r="AE328" s="32">
        <f t="shared" si="22"/>
        <v>1.4980551661637363E-4</v>
      </c>
      <c r="AF328" s="32">
        <f t="shared" si="21"/>
        <v>1.1148618824507431E-4</v>
      </c>
      <c r="AG328" s="32">
        <f t="shared" si="21"/>
        <v>1.708787609942327E-4</v>
      </c>
      <c r="AH328" s="32">
        <f t="shared" si="21"/>
        <v>3.5512128287250327E-4</v>
      </c>
      <c r="AI328" s="32">
        <f t="shared" si="21"/>
        <v>1.4179064225999763E-3</v>
      </c>
      <c r="AJ328" s="32">
        <f t="shared" si="21"/>
        <v>5.0806294183787515E-3</v>
      </c>
      <c r="AK328" s="33">
        <f t="shared" si="24"/>
        <v>3.214352498840952E-4</v>
      </c>
    </row>
    <row r="329" spans="1:37" x14ac:dyDescent="0.3">
      <c r="A329" t="s">
        <v>75</v>
      </c>
      <c r="B329" s="1">
        <v>2011</v>
      </c>
      <c r="C329" s="1" t="str">
        <f t="shared" si="23"/>
        <v>Oklahoma, 2011</v>
      </c>
      <c r="D329" s="27">
        <v>119</v>
      </c>
      <c r="E329" s="27">
        <v>60</v>
      </c>
      <c r="F329" s="27">
        <v>54</v>
      </c>
      <c r="G329" s="27">
        <v>73</v>
      </c>
      <c r="H329" s="27">
        <v>52</v>
      </c>
      <c r="I329" s="27">
        <v>52</v>
      </c>
      <c r="J329" s="27">
        <v>92</v>
      </c>
      <c r="K329" s="27">
        <v>143</v>
      </c>
      <c r="L329" s="27">
        <v>219</v>
      </c>
      <c r="M329" s="27">
        <v>326</v>
      </c>
      <c r="N329" s="27">
        <v>46</v>
      </c>
      <c r="O329" s="28">
        <v>1236</v>
      </c>
      <c r="P329" s="29">
        <v>246470.08900000001</v>
      </c>
      <c r="Q329" s="30">
        <v>478775.80399999995</v>
      </c>
      <c r="R329" s="30">
        <v>508189.08099999995</v>
      </c>
      <c r="S329" s="30">
        <v>471822.13599999994</v>
      </c>
      <c r="T329" s="30">
        <v>442658.35000000003</v>
      </c>
      <c r="U329" s="30">
        <v>493925.20400000003</v>
      </c>
      <c r="V329" s="30">
        <v>405397.30499999993</v>
      </c>
      <c r="W329" s="30">
        <v>256838.63400000002</v>
      </c>
      <c r="X329" s="30">
        <v>153660.18399999995</v>
      </c>
      <c r="Y329" s="30">
        <v>56428.22</v>
      </c>
      <c r="Z329" s="31">
        <v>3516036</v>
      </c>
      <c r="AA329" s="32">
        <f t="shared" si="22"/>
        <v>4.8281720708105881E-4</v>
      </c>
      <c r="AB329" s="32">
        <f t="shared" si="22"/>
        <v>1.2531961619346998E-4</v>
      </c>
      <c r="AC329" s="32">
        <f t="shared" si="22"/>
        <v>1.0625966204102682E-4</v>
      </c>
      <c r="AD329" s="32">
        <f t="shared" si="22"/>
        <v>1.5471931990914477E-4</v>
      </c>
      <c r="AE329" s="32">
        <f t="shared" si="22"/>
        <v>1.1747208654258977E-4</v>
      </c>
      <c r="AF329" s="32">
        <f t="shared" si="21"/>
        <v>1.0527909808789591E-4</v>
      </c>
      <c r="AG329" s="32">
        <f t="shared" si="21"/>
        <v>2.2693786777886946E-4</v>
      </c>
      <c r="AH329" s="32">
        <f t="shared" si="21"/>
        <v>5.5676981991735713E-4</v>
      </c>
      <c r="AI329" s="32">
        <f t="shared" si="21"/>
        <v>1.4252228150397118E-3</v>
      </c>
      <c r="AJ329" s="32">
        <f t="shared" si="21"/>
        <v>5.7772511697161454E-3</v>
      </c>
      <c r="AK329" s="33">
        <f t="shared" si="24"/>
        <v>3.5153223687129482E-4</v>
      </c>
    </row>
    <row r="330" spans="1:37" x14ac:dyDescent="0.3">
      <c r="A330" t="s">
        <v>75</v>
      </c>
      <c r="B330" s="1">
        <v>2012</v>
      </c>
      <c r="C330" s="1" t="str">
        <f t="shared" si="23"/>
        <v>Oklahoma, 2012</v>
      </c>
      <c r="D330" s="27">
        <v>109</v>
      </c>
      <c r="E330" s="27">
        <v>39</v>
      </c>
      <c r="F330" s="27">
        <v>59</v>
      </c>
      <c r="G330" s="27">
        <v>48</v>
      </c>
      <c r="H330" s="27">
        <v>59</v>
      </c>
      <c r="I330" s="27">
        <v>58</v>
      </c>
      <c r="J330" s="27">
        <v>74</v>
      </c>
      <c r="K330" s="27">
        <v>67</v>
      </c>
      <c r="L330" s="27">
        <v>127</v>
      </c>
      <c r="M330" s="27">
        <v>229</v>
      </c>
      <c r="N330" s="27">
        <v>59</v>
      </c>
      <c r="O330" s="28">
        <v>928</v>
      </c>
      <c r="P330" s="29">
        <v>257628.34400000001</v>
      </c>
      <c r="Q330" s="30">
        <v>506264.54399999999</v>
      </c>
      <c r="R330" s="30">
        <v>530682.23800000001</v>
      </c>
      <c r="S330" s="30">
        <v>496946.29200000002</v>
      </c>
      <c r="T330" s="30">
        <v>457711.027</v>
      </c>
      <c r="U330" s="30">
        <v>512663.84000000008</v>
      </c>
      <c r="V330" s="30">
        <v>435931.39299999992</v>
      </c>
      <c r="W330" s="30">
        <v>277988.22200000007</v>
      </c>
      <c r="X330" s="30">
        <v>161880.43499999997</v>
      </c>
      <c r="Y330" s="30">
        <v>61570.971999999987</v>
      </c>
      <c r="Z330" s="31">
        <v>3700111</v>
      </c>
      <c r="AA330" s="32">
        <f t="shared" si="22"/>
        <v>4.2309009291306856E-4</v>
      </c>
      <c r="AB330" s="32">
        <f t="shared" si="22"/>
        <v>7.703482391214029E-5</v>
      </c>
      <c r="AC330" s="32">
        <f t="shared" si="22"/>
        <v>1.1117764224096756E-4</v>
      </c>
      <c r="AD330" s="32">
        <f t="shared" si="22"/>
        <v>9.658991479103339E-5</v>
      </c>
      <c r="AE330" s="32">
        <f t="shared" si="22"/>
        <v>1.2890229100816485E-4</v>
      </c>
      <c r="AF330" s="32">
        <f t="shared" si="21"/>
        <v>1.1313456396690664E-4</v>
      </c>
      <c r="AG330" s="32">
        <f t="shared" si="21"/>
        <v>1.6975148197230204E-4</v>
      </c>
      <c r="AH330" s="32">
        <f t="shared" si="21"/>
        <v>2.4101740540647792E-4</v>
      </c>
      <c r="AI330" s="32">
        <f t="shared" si="21"/>
        <v>7.8452964374601554E-4</v>
      </c>
      <c r="AJ330" s="32">
        <f t="shared" si="21"/>
        <v>3.7192851202673891E-3</v>
      </c>
      <c r="AK330" s="33">
        <f t="shared" si="24"/>
        <v>2.5080328671220944E-4</v>
      </c>
    </row>
    <row r="331" spans="1:37" x14ac:dyDescent="0.3">
      <c r="A331" t="s">
        <v>75</v>
      </c>
      <c r="B331" s="1">
        <v>2013</v>
      </c>
      <c r="C331" s="1" t="str">
        <f t="shared" si="23"/>
        <v>Oklahoma, 2013</v>
      </c>
      <c r="D331" s="27">
        <v>112</v>
      </c>
      <c r="E331" s="27">
        <v>70</v>
      </c>
      <c r="F331" s="27">
        <v>60</v>
      </c>
      <c r="G331" s="27">
        <v>44</v>
      </c>
      <c r="H331" s="27">
        <v>51</v>
      </c>
      <c r="I331" s="27">
        <v>54</v>
      </c>
      <c r="J331" s="27">
        <v>83</v>
      </c>
      <c r="K331" s="27">
        <v>102</v>
      </c>
      <c r="L331" s="27">
        <v>153</v>
      </c>
      <c r="M331" s="27">
        <v>305</v>
      </c>
      <c r="N331" s="27">
        <v>48</v>
      </c>
      <c r="O331" s="28">
        <v>1082</v>
      </c>
      <c r="P331" s="29">
        <v>254591.85299999994</v>
      </c>
      <c r="Q331" s="30">
        <v>501251.90899999993</v>
      </c>
      <c r="R331" s="30">
        <v>520744.91399999999</v>
      </c>
      <c r="S331" s="30">
        <v>494340.77100000007</v>
      </c>
      <c r="T331" s="30">
        <v>448403.50400000007</v>
      </c>
      <c r="U331" s="30">
        <v>495168.6650000001</v>
      </c>
      <c r="V331" s="30">
        <v>435998.36699999991</v>
      </c>
      <c r="W331" s="30">
        <v>280613.54399999994</v>
      </c>
      <c r="X331" s="30">
        <v>159721.0119999999</v>
      </c>
      <c r="Y331" s="30">
        <v>61061.132999999994</v>
      </c>
      <c r="Z331" s="31">
        <v>3650258</v>
      </c>
      <c r="AA331" s="32">
        <f t="shared" si="22"/>
        <v>4.3991981157386062E-4</v>
      </c>
      <c r="AB331" s="32">
        <f t="shared" si="22"/>
        <v>1.3965034096259174E-4</v>
      </c>
      <c r="AC331" s="32">
        <f t="shared" si="22"/>
        <v>1.1521956026247431E-4</v>
      </c>
      <c r="AD331" s="32">
        <f t="shared" si="22"/>
        <v>8.900742682217485E-5</v>
      </c>
      <c r="AE331" s="32">
        <f t="shared" si="22"/>
        <v>1.1373684537487466E-4</v>
      </c>
      <c r="AF331" s="32">
        <f t="shared" si="21"/>
        <v>1.0905375040240074E-4</v>
      </c>
      <c r="AG331" s="32">
        <f t="shared" si="21"/>
        <v>1.9036768548263855E-4</v>
      </c>
      <c r="AH331" s="32">
        <f t="shared" si="21"/>
        <v>3.6348922630762264E-4</v>
      </c>
      <c r="AI331" s="32">
        <f t="shared" si="21"/>
        <v>9.5792030168203603E-4</v>
      </c>
      <c r="AJ331" s="32">
        <f t="shared" si="21"/>
        <v>4.9949941151599666E-3</v>
      </c>
      <c r="AK331" s="33">
        <f t="shared" si="24"/>
        <v>2.9641740392048998E-4</v>
      </c>
    </row>
    <row r="332" spans="1:37" x14ac:dyDescent="0.3">
      <c r="A332" t="s">
        <v>75</v>
      </c>
      <c r="B332" s="1">
        <v>2014</v>
      </c>
      <c r="C332" s="1" t="str">
        <f t="shared" si="23"/>
        <v>Oklahoma, 2014</v>
      </c>
      <c r="D332" s="27">
        <v>94</v>
      </c>
      <c r="E332" s="27">
        <v>49</v>
      </c>
      <c r="F332" s="27">
        <v>57</v>
      </c>
      <c r="G332" s="27">
        <v>47</v>
      </c>
      <c r="H332" s="27">
        <v>47</v>
      </c>
      <c r="I332" s="27">
        <v>75</v>
      </c>
      <c r="J332" s="27">
        <v>81</v>
      </c>
      <c r="K332" s="27">
        <v>115</v>
      </c>
      <c r="L332" s="27">
        <v>154</v>
      </c>
      <c r="M332" s="27">
        <v>257</v>
      </c>
      <c r="N332" s="27">
        <v>66</v>
      </c>
      <c r="O332" s="28">
        <v>1042</v>
      </c>
      <c r="P332" s="29">
        <v>249457.70399999994</v>
      </c>
      <c r="Q332" s="30">
        <v>489115.40600000013</v>
      </c>
      <c r="R332" s="30">
        <v>514420.51499999996</v>
      </c>
      <c r="S332" s="30">
        <v>493655.14299999998</v>
      </c>
      <c r="T332" s="30">
        <v>438669.44399999996</v>
      </c>
      <c r="U332" s="30">
        <v>473353.53700000001</v>
      </c>
      <c r="V332" s="30">
        <v>431058.6069999999</v>
      </c>
      <c r="W332" s="30">
        <v>277183.68099999998</v>
      </c>
      <c r="X332" s="30">
        <v>155436.41700000002</v>
      </c>
      <c r="Y332" s="30">
        <v>60699.816999999995</v>
      </c>
      <c r="Z332" s="31">
        <v>3583560</v>
      </c>
      <c r="AA332" s="32">
        <f t="shared" si="22"/>
        <v>3.7681738624516491E-4</v>
      </c>
      <c r="AB332" s="32">
        <f t="shared" si="22"/>
        <v>1.0018085588577839E-4</v>
      </c>
      <c r="AC332" s="32">
        <f t="shared" si="22"/>
        <v>1.1080429014383302E-4</v>
      </c>
      <c r="AD332" s="32">
        <f t="shared" si="22"/>
        <v>9.5208164376401529E-5</v>
      </c>
      <c r="AE332" s="32">
        <f t="shared" si="22"/>
        <v>1.0714217879283154E-4</v>
      </c>
      <c r="AF332" s="32">
        <f t="shared" si="21"/>
        <v>1.5844394123540689E-4</v>
      </c>
      <c r="AG332" s="32">
        <f t="shared" si="21"/>
        <v>1.8790948303695515E-4</v>
      </c>
      <c r="AH332" s="32">
        <f t="shared" si="21"/>
        <v>4.1488733963382211E-4</v>
      </c>
      <c r="AI332" s="32">
        <f t="shared" si="21"/>
        <v>9.9075881297495407E-4</v>
      </c>
      <c r="AJ332" s="32">
        <f t="shared" si="21"/>
        <v>4.2339501616619375E-3</v>
      </c>
      <c r="AK332" s="33">
        <f t="shared" si="24"/>
        <v>2.9077230463561373E-4</v>
      </c>
    </row>
    <row r="333" spans="1:37" x14ac:dyDescent="0.3">
      <c r="A333" t="s">
        <v>75</v>
      </c>
      <c r="B333" s="1">
        <v>2015</v>
      </c>
      <c r="C333" s="1" t="str">
        <f t="shared" si="23"/>
        <v>Oklahoma, 2015</v>
      </c>
      <c r="D333" s="27">
        <v>103</v>
      </c>
      <c r="E333" s="27">
        <v>47</v>
      </c>
      <c r="F333" s="27">
        <v>41</v>
      </c>
      <c r="G333" s="27">
        <v>60</v>
      </c>
      <c r="H333" s="27">
        <v>58</v>
      </c>
      <c r="I333" s="27">
        <v>59</v>
      </c>
      <c r="J333" s="27">
        <v>78</v>
      </c>
      <c r="K333" s="27">
        <v>104</v>
      </c>
      <c r="L333" s="27">
        <v>207</v>
      </c>
      <c r="M333" s="27">
        <v>256</v>
      </c>
      <c r="N333" s="27">
        <v>44</v>
      </c>
      <c r="O333" s="28">
        <v>1057</v>
      </c>
      <c r="P333" s="29">
        <v>252080.51600000003</v>
      </c>
      <c r="Q333" s="30">
        <v>499337.31300000002</v>
      </c>
      <c r="R333" s="30">
        <v>515315.58699999994</v>
      </c>
      <c r="S333" s="30">
        <v>500236.65899999993</v>
      </c>
      <c r="T333" s="30">
        <v>445559.23499999999</v>
      </c>
      <c r="U333" s="30">
        <v>474120.77799999993</v>
      </c>
      <c r="V333" s="30">
        <v>447229.60700000008</v>
      </c>
      <c r="W333" s="30">
        <v>292405.65300000011</v>
      </c>
      <c r="X333" s="30">
        <v>160246.87300000002</v>
      </c>
      <c r="Y333" s="30">
        <v>63745.000999999997</v>
      </c>
      <c r="Z333" s="31">
        <v>3651269</v>
      </c>
      <c r="AA333" s="32">
        <f t="shared" si="22"/>
        <v>4.0859960791257656E-4</v>
      </c>
      <c r="AB333" s="32">
        <f t="shared" si="22"/>
        <v>9.4124750497065287E-5</v>
      </c>
      <c r="AC333" s="32">
        <f t="shared" si="22"/>
        <v>7.956289511576525E-5</v>
      </c>
      <c r="AD333" s="32">
        <f t="shared" si="22"/>
        <v>1.1994322871087305E-4</v>
      </c>
      <c r="AE333" s="32">
        <f t="shared" si="22"/>
        <v>1.3017348860471943E-4</v>
      </c>
      <c r="AF333" s="32">
        <f t="shared" si="21"/>
        <v>1.2444086557202098E-4</v>
      </c>
      <c r="AG333" s="32">
        <f t="shared" si="21"/>
        <v>1.7440705798352923E-4</v>
      </c>
      <c r="AH333" s="32">
        <f t="shared" si="21"/>
        <v>3.5567027837180688E-4</v>
      </c>
      <c r="AI333" s="32">
        <f t="shared" si="21"/>
        <v>1.2917568756552272E-3</v>
      </c>
      <c r="AJ333" s="32">
        <f t="shared" si="21"/>
        <v>4.0160011919993539E-3</v>
      </c>
      <c r="AK333" s="33">
        <f t="shared" si="24"/>
        <v>2.8948839430893752E-4</v>
      </c>
    </row>
    <row r="334" spans="1:37" x14ac:dyDescent="0.3">
      <c r="A334" t="s">
        <v>75</v>
      </c>
      <c r="B334" s="1">
        <v>2016</v>
      </c>
      <c r="C334" s="1" t="str">
        <f t="shared" si="23"/>
        <v>Oklahoma, 2016</v>
      </c>
      <c r="D334" s="27">
        <v>95</v>
      </c>
      <c r="E334" s="27">
        <v>61</v>
      </c>
      <c r="F334" s="27">
        <v>56</v>
      </c>
      <c r="G334" s="27">
        <v>52</v>
      </c>
      <c r="H334" s="27">
        <v>37</v>
      </c>
      <c r="I334" s="27">
        <v>49</v>
      </c>
      <c r="J334" s="27">
        <v>71</v>
      </c>
      <c r="K334" s="27">
        <v>68</v>
      </c>
      <c r="L334" s="27">
        <v>133</v>
      </c>
      <c r="M334" s="27">
        <v>194</v>
      </c>
      <c r="N334" s="27">
        <v>67</v>
      </c>
      <c r="O334" s="28">
        <v>883</v>
      </c>
      <c r="P334" s="29">
        <v>244135.78199999998</v>
      </c>
      <c r="Q334" s="30">
        <v>487060.24700000003</v>
      </c>
      <c r="R334" s="30">
        <v>501882.86900000001</v>
      </c>
      <c r="S334" s="30">
        <v>493031.87400000007</v>
      </c>
      <c r="T334" s="30">
        <v>436018.57299999986</v>
      </c>
      <c r="U334" s="30">
        <v>448813.65000000014</v>
      </c>
      <c r="V334" s="30">
        <v>436460.21399999998</v>
      </c>
      <c r="W334" s="30">
        <v>293137.34299999994</v>
      </c>
      <c r="X334" s="30">
        <v>155379.61600000001</v>
      </c>
      <c r="Y334" s="30">
        <v>60600.343000000001</v>
      </c>
      <c r="Z334" s="31">
        <v>3555575</v>
      </c>
      <c r="AA334" s="32">
        <f t="shared" si="22"/>
        <v>3.8912771909854662E-4</v>
      </c>
      <c r="AB334" s="32">
        <f t="shared" si="22"/>
        <v>1.2524117986578362E-4</v>
      </c>
      <c r="AC334" s="32">
        <f t="shared" si="22"/>
        <v>1.1157981963317421E-4</v>
      </c>
      <c r="AD334" s="32">
        <f t="shared" si="22"/>
        <v>1.0546985447030143E-4</v>
      </c>
      <c r="AE334" s="32">
        <f t="shared" si="22"/>
        <v>8.4858770454257718E-5</v>
      </c>
      <c r="AF334" s="32">
        <f t="shared" si="21"/>
        <v>1.0917671510213645E-4</v>
      </c>
      <c r="AG334" s="32">
        <f t="shared" si="21"/>
        <v>1.6267233008321807E-4</v>
      </c>
      <c r="AH334" s="32">
        <f t="shared" si="21"/>
        <v>2.3197317443107211E-4</v>
      </c>
      <c r="AI334" s="32">
        <f t="shared" si="21"/>
        <v>8.5596813419850379E-4</v>
      </c>
      <c r="AJ334" s="32">
        <f t="shared" si="21"/>
        <v>3.2013020124325039E-3</v>
      </c>
      <c r="AK334" s="33">
        <f t="shared" si="24"/>
        <v>2.4834239187754444E-4</v>
      </c>
    </row>
    <row r="335" spans="1:37" x14ac:dyDescent="0.3">
      <c r="A335" t="s">
        <v>75</v>
      </c>
      <c r="B335" s="1">
        <v>2017</v>
      </c>
      <c r="C335" s="1" t="str">
        <f t="shared" si="23"/>
        <v>Oklahoma, 2017</v>
      </c>
      <c r="D335" s="27">
        <v>116</v>
      </c>
      <c r="E335" s="27">
        <v>49</v>
      </c>
      <c r="F335" s="27">
        <v>58</v>
      </c>
      <c r="G335" s="27">
        <v>65</v>
      </c>
      <c r="H335" s="27">
        <v>56</v>
      </c>
      <c r="I335" s="27">
        <v>38</v>
      </c>
      <c r="J335" s="27">
        <v>73</v>
      </c>
      <c r="K335" s="27">
        <v>112</v>
      </c>
      <c r="L335" s="27">
        <v>146</v>
      </c>
      <c r="M335" s="27">
        <v>206</v>
      </c>
      <c r="N335" s="27">
        <v>29</v>
      </c>
      <c r="O335" s="28">
        <v>948</v>
      </c>
      <c r="P335" s="29">
        <v>242997</v>
      </c>
      <c r="Q335" s="30">
        <v>490635</v>
      </c>
      <c r="R335" s="30">
        <v>487122</v>
      </c>
      <c r="S335" s="30">
        <v>496131</v>
      </c>
      <c r="T335" s="30">
        <v>441371</v>
      </c>
      <c r="U335" s="30">
        <v>445571</v>
      </c>
      <c r="V335" s="30">
        <v>440577</v>
      </c>
      <c r="W335" s="30">
        <v>297762</v>
      </c>
      <c r="X335" s="30">
        <v>155960</v>
      </c>
      <c r="Y335" s="30">
        <v>59976</v>
      </c>
      <c r="Z335" s="31">
        <v>3558102</v>
      </c>
      <c r="AA335" s="32">
        <f t="shared" si="22"/>
        <v>4.773721486273493E-4</v>
      </c>
      <c r="AB335" s="32">
        <f t="shared" si="22"/>
        <v>9.987057588635136E-5</v>
      </c>
      <c r="AC335" s="32">
        <f t="shared" si="22"/>
        <v>1.1906668144735815E-4</v>
      </c>
      <c r="AD335" s="32">
        <f t="shared" si="22"/>
        <v>1.3101378466574351E-4</v>
      </c>
      <c r="AE335" s="32">
        <f t="shared" si="22"/>
        <v>1.2687738886333719E-4</v>
      </c>
      <c r="AF335" s="32">
        <f t="shared" ref="AF335:AJ398" si="25">I335/U335</f>
        <v>8.5283826819968086E-5</v>
      </c>
      <c r="AG335" s="32">
        <f t="shared" si="25"/>
        <v>1.6569180869632324E-4</v>
      </c>
      <c r="AH335" s="32">
        <f t="shared" si="25"/>
        <v>3.7613933275569078E-4</v>
      </c>
      <c r="AI335" s="32">
        <f t="shared" si="25"/>
        <v>9.3613747114644778E-4</v>
      </c>
      <c r="AJ335" s="32">
        <f t="shared" si="25"/>
        <v>3.4347072162198211E-3</v>
      </c>
      <c r="AK335" s="33">
        <f t="shared" si="24"/>
        <v>2.6643418316844207E-4</v>
      </c>
    </row>
    <row r="336" spans="1:37" x14ac:dyDescent="0.3">
      <c r="A336" t="s">
        <v>76</v>
      </c>
      <c r="B336" s="1">
        <v>2009</v>
      </c>
      <c r="C336" s="1" t="str">
        <f t="shared" si="23"/>
        <v>Oregon, 2009</v>
      </c>
      <c r="D336" s="27">
        <v>106</v>
      </c>
      <c r="E336" s="27">
        <v>50</v>
      </c>
      <c r="F336" s="27">
        <v>46</v>
      </c>
      <c r="G336" s="27">
        <v>41</v>
      </c>
      <c r="H336" s="27">
        <v>23</v>
      </c>
      <c r="I336" s="27">
        <v>48</v>
      </c>
      <c r="J336" s="27">
        <v>51</v>
      </c>
      <c r="K336" s="27">
        <v>67</v>
      </c>
      <c r="L336" s="27">
        <v>119</v>
      </c>
      <c r="M336" s="27">
        <v>212</v>
      </c>
      <c r="N336" s="27">
        <v>56</v>
      </c>
      <c r="O336" s="28">
        <v>819</v>
      </c>
      <c r="P336" s="29">
        <v>236504.04600000006</v>
      </c>
      <c r="Q336" s="30">
        <v>468408.76099999988</v>
      </c>
      <c r="R336" s="30">
        <v>504990.28</v>
      </c>
      <c r="S336" s="30">
        <v>499858.20899999992</v>
      </c>
      <c r="T336" s="30">
        <v>500841.478</v>
      </c>
      <c r="U336" s="30">
        <v>547268.30599999987</v>
      </c>
      <c r="V336" s="30">
        <v>450193.31000000006</v>
      </c>
      <c r="W336" s="30">
        <v>250652.08800000002</v>
      </c>
      <c r="X336" s="30">
        <v>164591.23800000004</v>
      </c>
      <c r="Y336" s="30">
        <v>73065.760000000009</v>
      </c>
      <c r="Z336" s="31">
        <v>3694697</v>
      </c>
      <c r="AA336" s="32">
        <f t="shared" ref="AA336:AE399" si="26">D336/P336</f>
        <v>4.4819529218540291E-4</v>
      </c>
      <c r="AB336" s="32">
        <f t="shared" si="26"/>
        <v>1.0674437406605213E-4</v>
      </c>
      <c r="AC336" s="32">
        <f t="shared" si="26"/>
        <v>9.1090862184515701E-5</v>
      </c>
      <c r="AD336" s="32">
        <f t="shared" si="26"/>
        <v>8.2023260320208136E-5</v>
      </c>
      <c r="AE336" s="32">
        <f t="shared" si="26"/>
        <v>4.592271409278127E-5</v>
      </c>
      <c r="AF336" s="32">
        <f t="shared" si="25"/>
        <v>8.7708349768751296E-5</v>
      </c>
      <c r="AG336" s="32">
        <f t="shared" si="25"/>
        <v>1.1328466875707237E-4</v>
      </c>
      <c r="AH336" s="32">
        <f t="shared" si="25"/>
        <v>2.6730278025850713E-4</v>
      </c>
      <c r="AI336" s="32">
        <f t="shared" si="25"/>
        <v>7.2300325002719746E-4</v>
      </c>
      <c r="AJ336" s="32">
        <f t="shared" si="25"/>
        <v>2.9014958579777995E-3</v>
      </c>
      <c r="AK336" s="33">
        <f t="shared" si="24"/>
        <v>2.2166905702957509E-4</v>
      </c>
    </row>
    <row r="337" spans="1:37" x14ac:dyDescent="0.3">
      <c r="A337" t="s">
        <v>76</v>
      </c>
      <c r="B337" s="1">
        <v>2010</v>
      </c>
      <c r="C337" s="1" t="str">
        <f t="shared" si="23"/>
        <v>Oregon, 2010</v>
      </c>
      <c r="D337" s="27">
        <v>129</v>
      </c>
      <c r="E337" s="27">
        <v>39</v>
      </c>
      <c r="F337" s="27">
        <v>58</v>
      </c>
      <c r="G337" s="27">
        <v>43</v>
      </c>
      <c r="H337" s="27">
        <v>47</v>
      </c>
      <c r="I337" s="27">
        <v>60</v>
      </c>
      <c r="J337" s="27">
        <v>72</v>
      </c>
      <c r="K337" s="27">
        <v>61</v>
      </c>
      <c r="L337" s="27">
        <v>85</v>
      </c>
      <c r="M337" s="27">
        <v>227</v>
      </c>
      <c r="N337" s="27">
        <v>75</v>
      </c>
      <c r="O337" s="28">
        <v>896</v>
      </c>
      <c r="P337" s="29">
        <v>233858.70399999997</v>
      </c>
      <c r="Q337" s="30">
        <v>476761.16000000003</v>
      </c>
      <c r="R337" s="30">
        <v>507890.42299999995</v>
      </c>
      <c r="S337" s="30">
        <v>508182.65900000004</v>
      </c>
      <c r="T337" s="30">
        <v>502560.31</v>
      </c>
      <c r="U337" s="30">
        <v>545179.74500000011</v>
      </c>
      <c r="V337" s="30">
        <v>475385.28799999994</v>
      </c>
      <c r="W337" s="30">
        <v>266703.67599999998</v>
      </c>
      <c r="X337" s="30">
        <v>166284.67200000002</v>
      </c>
      <c r="Y337" s="30">
        <v>74236.012000000002</v>
      </c>
      <c r="Z337" s="31">
        <v>3754561</v>
      </c>
      <c r="AA337" s="32">
        <f t="shared" si="26"/>
        <v>5.5161513252891382E-4</v>
      </c>
      <c r="AB337" s="32">
        <f t="shared" si="26"/>
        <v>8.1801965579578667E-5</v>
      </c>
      <c r="AC337" s="32">
        <f t="shared" si="26"/>
        <v>1.1419786113982308E-4</v>
      </c>
      <c r="AD337" s="32">
        <f t="shared" si="26"/>
        <v>8.4615244614240161E-5</v>
      </c>
      <c r="AE337" s="32">
        <f t="shared" si="26"/>
        <v>9.3521113913671371E-5</v>
      </c>
      <c r="AF337" s="32">
        <f t="shared" si="25"/>
        <v>1.1005544602542046E-4</v>
      </c>
      <c r="AG337" s="32">
        <f t="shared" si="25"/>
        <v>1.514560963863905E-4</v>
      </c>
      <c r="AH337" s="32">
        <f t="shared" si="25"/>
        <v>2.2871825733665555E-4</v>
      </c>
      <c r="AI337" s="32">
        <f t="shared" si="25"/>
        <v>5.1117158892432363E-4</v>
      </c>
      <c r="AJ337" s="32">
        <f t="shared" si="25"/>
        <v>3.0578151207799253E-3</v>
      </c>
      <c r="AK337" s="33">
        <f t="shared" si="24"/>
        <v>2.3864307971025107E-4</v>
      </c>
    </row>
    <row r="338" spans="1:37" x14ac:dyDescent="0.3">
      <c r="A338" t="s">
        <v>76</v>
      </c>
      <c r="B338" s="1">
        <v>2011</v>
      </c>
      <c r="C338" s="1" t="str">
        <f t="shared" si="23"/>
        <v>Oregon, 2011</v>
      </c>
      <c r="D338" s="27">
        <v>93</v>
      </c>
      <c r="E338" s="27">
        <v>48</v>
      </c>
      <c r="F338" s="27">
        <v>51</v>
      </c>
      <c r="G338" s="27">
        <v>53</v>
      </c>
      <c r="H338" s="27">
        <v>65</v>
      </c>
      <c r="I338" s="27">
        <v>58</v>
      </c>
      <c r="J338" s="27">
        <v>43</v>
      </c>
      <c r="K338" s="27">
        <v>52</v>
      </c>
      <c r="L338" s="27">
        <v>77</v>
      </c>
      <c r="M338" s="27">
        <v>212</v>
      </c>
      <c r="N338" s="27">
        <v>66</v>
      </c>
      <c r="O338" s="28">
        <v>818</v>
      </c>
      <c r="P338" s="29">
        <v>232896.51800000004</v>
      </c>
      <c r="Q338" s="30">
        <v>472197.96200000012</v>
      </c>
      <c r="R338" s="30">
        <v>502699.46499999991</v>
      </c>
      <c r="S338" s="30">
        <v>512170.59299999994</v>
      </c>
      <c r="T338" s="30">
        <v>496041.27600000001</v>
      </c>
      <c r="U338" s="30">
        <v>534242.473</v>
      </c>
      <c r="V338" s="30">
        <v>485870.09200000006</v>
      </c>
      <c r="W338" s="30">
        <v>273136.61700000003</v>
      </c>
      <c r="X338" s="30">
        <v>163937.77000000008</v>
      </c>
      <c r="Y338" s="30">
        <v>72578.395999999993</v>
      </c>
      <c r="Z338" s="31">
        <v>3745417</v>
      </c>
      <c r="AA338" s="32">
        <f t="shared" si="26"/>
        <v>3.9931897994284303E-4</v>
      </c>
      <c r="AB338" s="32">
        <f t="shared" si="26"/>
        <v>1.0165228116761756E-4</v>
      </c>
      <c r="AC338" s="32">
        <f t="shared" si="26"/>
        <v>1.0145226631581955E-4</v>
      </c>
      <c r="AD338" s="32">
        <f t="shared" si="26"/>
        <v>1.0348114617349771E-4</v>
      </c>
      <c r="AE338" s="32">
        <f t="shared" si="26"/>
        <v>1.3103748245337551E-4</v>
      </c>
      <c r="AF338" s="32">
        <f t="shared" si="25"/>
        <v>1.0856493620641053E-4</v>
      </c>
      <c r="AG338" s="32">
        <f t="shared" si="25"/>
        <v>8.8501022614909157E-5</v>
      </c>
      <c r="AH338" s="32">
        <f t="shared" si="25"/>
        <v>1.903809184251557E-4</v>
      </c>
      <c r="AI338" s="32">
        <f t="shared" si="25"/>
        <v>4.6969041972450866E-4</v>
      </c>
      <c r="AJ338" s="32">
        <f t="shared" si="25"/>
        <v>2.9209794054969197E-3</v>
      </c>
      <c r="AK338" s="33">
        <f t="shared" si="24"/>
        <v>2.1840024755587963E-4</v>
      </c>
    </row>
    <row r="339" spans="1:37" x14ac:dyDescent="0.3">
      <c r="A339" t="s">
        <v>76</v>
      </c>
      <c r="B339" s="1">
        <v>2012</v>
      </c>
      <c r="C339" s="1" t="str">
        <f t="shared" si="23"/>
        <v>Oregon, 2012</v>
      </c>
      <c r="D339" s="27">
        <v>122</v>
      </c>
      <c r="E339" s="27">
        <v>54</v>
      </c>
      <c r="F339" s="27">
        <v>56</v>
      </c>
      <c r="G339" s="27">
        <v>73</v>
      </c>
      <c r="H339" s="27">
        <v>59</v>
      </c>
      <c r="I339" s="27">
        <v>47</v>
      </c>
      <c r="J339" s="27">
        <v>29</v>
      </c>
      <c r="K339" s="27">
        <v>43</v>
      </c>
      <c r="L339" s="27">
        <v>81</v>
      </c>
      <c r="M339" s="27">
        <v>188</v>
      </c>
      <c r="N339" s="27">
        <v>62</v>
      </c>
      <c r="O339" s="28">
        <v>814</v>
      </c>
      <c r="P339" s="29">
        <v>229287.56100000005</v>
      </c>
      <c r="Q339" s="30">
        <v>466664.09500000003</v>
      </c>
      <c r="R339" s="30">
        <v>493206.74099999998</v>
      </c>
      <c r="S339" s="30">
        <v>512594.17599999998</v>
      </c>
      <c r="T339" s="30">
        <v>489190.52300000004</v>
      </c>
      <c r="U339" s="30">
        <v>513834.38400000002</v>
      </c>
      <c r="V339" s="30">
        <v>479265.78799999994</v>
      </c>
      <c r="W339" s="30">
        <v>272083.75299999997</v>
      </c>
      <c r="X339" s="30">
        <v>153483.005</v>
      </c>
      <c r="Y339" s="30">
        <v>71150.740000000005</v>
      </c>
      <c r="Z339" s="31">
        <v>3681815</v>
      </c>
      <c r="AA339" s="32">
        <f t="shared" si="26"/>
        <v>5.3208294190891579E-4</v>
      </c>
      <c r="AB339" s="32">
        <f t="shared" si="26"/>
        <v>1.1571492338616709E-4</v>
      </c>
      <c r="AC339" s="32">
        <f t="shared" si="26"/>
        <v>1.1354264924777255E-4</v>
      </c>
      <c r="AD339" s="32">
        <f t="shared" si="26"/>
        <v>1.4241285488190956E-4</v>
      </c>
      <c r="AE339" s="32">
        <f t="shared" si="26"/>
        <v>1.206074059615419E-4</v>
      </c>
      <c r="AF339" s="32">
        <f t="shared" si="25"/>
        <v>9.1469161004998058E-5</v>
      </c>
      <c r="AG339" s="32">
        <f t="shared" si="25"/>
        <v>6.0509222076999171E-5</v>
      </c>
      <c r="AH339" s="32">
        <f t="shared" si="25"/>
        <v>1.580395724694374E-4</v>
      </c>
      <c r="AI339" s="32">
        <f t="shared" si="25"/>
        <v>5.2774572663598807E-4</v>
      </c>
      <c r="AJ339" s="32">
        <f t="shared" si="25"/>
        <v>2.6422775082873347E-3</v>
      </c>
      <c r="AK339" s="33">
        <f t="shared" si="24"/>
        <v>2.210866108155896E-4</v>
      </c>
    </row>
    <row r="340" spans="1:37" x14ac:dyDescent="0.3">
      <c r="A340" t="s">
        <v>76</v>
      </c>
      <c r="B340" s="1">
        <v>2013</v>
      </c>
      <c r="C340" s="1" t="str">
        <f t="shared" si="23"/>
        <v>Oregon, 2013</v>
      </c>
      <c r="D340" s="27">
        <v>103</v>
      </c>
      <c r="E340" s="27">
        <v>54</v>
      </c>
      <c r="F340" s="27">
        <v>70</v>
      </c>
      <c r="G340" s="27">
        <v>56</v>
      </c>
      <c r="H340" s="27">
        <v>80</v>
      </c>
      <c r="I340" s="27">
        <v>42</v>
      </c>
      <c r="J340" s="27">
        <v>44</v>
      </c>
      <c r="K340" s="27">
        <v>57</v>
      </c>
      <c r="L340" s="27">
        <v>101</v>
      </c>
      <c r="M340" s="27">
        <v>226</v>
      </c>
      <c r="N340" s="27">
        <v>42</v>
      </c>
      <c r="O340" s="28">
        <v>875</v>
      </c>
      <c r="P340" s="29">
        <v>229157.82899999994</v>
      </c>
      <c r="Q340" s="30">
        <v>469801.98400000011</v>
      </c>
      <c r="R340" s="30">
        <v>499636.51799999992</v>
      </c>
      <c r="S340" s="30">
        <v>518640.75399999996</v>
      </c>
      <c r="T340" s="30">
        <v>492326.77299999993</v>
      </c>
      <c r="U340" s="30">
        <v>515047.64599999995</v>
      </c>
      <c r="V340" s="30">
        <v>502967.24699999992</v>
      </c>
      <c r="W340" s="30">
        <v>300939.12799999997</v>
      </c>
      <c r="X340" s="30">
        <v>161696.01599999995</v>
      </c>
      <c r="Y340" s="30">
        <v>76255.933999999994</v>
      </c>
      <c r="Z340" s="31">
        <v>3766111</v>
      </c>
      <c r="AA340" s="32">
        <f t="shared" si="26"/>
        <v>4.4947187905153361E-4</v>
      </c>
      <c r="AB340" s="32">
        <f t="shared" si="26"/>
        <v>1.149420433269179E-4</v>
      </c>
      <c r="AC340" s="32">
        <f t="shared" si="26"/>
        <v>1.4010184900055687E-4</v>
      </c>
      <c r="AD340" s="32">
        <f t="shared" si="26"/>
        <v>1.0797454609592829E-4</v>
      </c>
      <c r="AE340" s="32">
        <f t="shared" si="26"/>
        <v>1.6249370212495027E-4</v>
      </c>
      <c r="AF340" s="32">
        <f t="shared" si="25"/>
        <v>8.154585372088082E-5</v>
      </c>
      <c r="AG340" s="32">
        <f t="shared" si="25"/>
        <v>8.7480845447576445E-5</v>
      </c>
      <c r="AH340" s="32">
        <f t="shared" si="25"/>
        <v>1.8940707504143498E-4</v>
      </c>
      <c r="AI340" s="32">
        <f t="shared" si="25"/>
        <v>6.2462887149922132E-4</v>
      </c>
      <c r="AJ340" s="32">
        <f t="shared" si="25"/>
        <v>2.9637037820558335E-3</v>
      </c>
      <c r="AK340" s="33">
        <f t="shared" si="24"/>
        <v>2.3233515953194158E-4</v>
      </c>
    </row>
    <row r="341" spans="1:37" x14ac:dyDescent="0.3">
      <c r="A341" t="s">
        <v>76</v>
      </c>
      <c r="B341" s="1">
        <v>2014</v>
      </c>
      <c r="C341" s="1" t="str">
        <f t="shared" si="23"/>
        <v>Oregon, 2014</v>
      </c>
      <c r="D341" s="27">
        <v>114</v>
      </c>
      <c r="E341" s="27">
        <v>47</v>
      </c>
      <c r="F341" s="27">
        <v>40</v>
      </c>
      <c r="G341" s="27">
        <v>53</v>
      </c>
      <c r="H341" s="27">
        <v>43</v>
      </c>
      <c r="I341" s="27">
        <v>64</v>
      </c>
      <c r="J341" s="27">
        <v>58</v>
      </c>
      <c r="K341" s="27">
        <v>80</v>
      </c>
      <c r="L341" s="27">
        <v>86</v>
      </c>
      <c r="M341" s="27">
        <v>185</v>
      </c>
      <c r="N341" s="27">
        <v>49</v>
      </c>
      <c r="O341" s="28">
        <v>819</v>
      </c>
      <c r="P341" s="29">
        <v>226033.486</v>
      </c>
      <c r="Q341" s="30">
        <v>469722.59000000008</v>
      </c>
      <c r="R341" s="30">
        <v>498812.65500000003</v>
      </c>
      <c r="S341" s="30">
        <v>522363.13499999983</v>
      </c>
      <c r="T341" s="30">
        <v>498493.37</v>
      </c>
      <c r="U341" s="30">
        <v>510193.49800000002</v>
      </c>
      <c r="V341" s="30">
        <v>510730.19899999991</v>
      </c>
      <c r="W341" s="30">
        <v>317546.27999999991</v>
      </c>
      <c r="X341" s="30">
        <v>163145.13699999999</v>
      </c>
      <c r="Y341" s="30">
        <v>76937.222999999998</v>
      </c>
      <c r="Z341" s="31">
        <v>3794507</v>
      </c>
      <c r="AA341" s="32">
        <f t="shared" si="26"/>
        <v>5.043500501514187E-4</v>
      </c>
      <c r="AB341" s="32">
        <f t="shared" si="26"/>
        <v>1.0005905826245229E-4</v>
      </c>
      <c r="AC341" s="32">
        <f t="shared" si="26"/>
        <v>8.0190427406056879E-5</v>
      </c>
      <c r="AD341" s="32">
        <f t="shared" si="26"/>
        <v>1.0146198391278132E-4</v>
      </c>
      <c r="AE341" s="32">
        <f t="shared" si="26"/>
        <v>8.6259923577318589E-5</v>
      </c>
      <c r="AF341" s="32">
        <f t="shared" si="25"/>
        <v>1.2544260217130403E-4</v>
      </c>
      <c r="AG341" s="32">
        <f t="shared" si="25"/>
        <v>1.1356289507368647E-4</v>
      </c>
      <c r="AH341" s="32">
        <f t="shared" si="25"/>
        <v>2.5193178140836677E-4</v>
      </c>
      <c r="AI341" s="32">
        <f t="shared" si="25"/>
        <v>5.2713799247353609E-4</v>
      </c>
      <c r="AJ341" s="32">
        <f t="shared" si="25"/>
        <v>2.404557804224361E-3</v>
      </c>
      <c r="AK341" s="33">
        <f t="shared" si="24"/>
        <v>2.15838315754853E-4</v>
      </c>
    </row>
    <row r="342" spans="1:37" x14ac:dyDescent="0.3">
      <c r="A342" t="s">
        <v>76</v>
      </c>
      <c r="B342" s="1">
        <v>2015</v>
      </c>
      <c r="C342" s="1" t="str">
        <f t="shared" si="23"/>
        <v>Oregon, 2015</v>
      </c>
      <c r="D342" s="27">
        <v>100</v>
      </c>
      <c r="E342" s="27">
        <v>45</v>
      </c>
      <c r="F342" s="27">
        <v>51</v>
      </c>
      <c r="G342" s="27">
        <v>54</v>
      </c>
      <c r="H342" s="27">
        <v>40</v>
      </c>
      <c r="I342" s="27">
        <v>53</v>
      </c>
      <c r="J342" s="27">
        <v>52</v>
      </c>
      <c r="K342" s="27">
        <v>72</v>
      </c>
      <c r="L342" s="27">
        <v>84</v>
      </c>
      <c r="M342" s="27">
        <v>232</v>
      </c>
      <c r="N342" s="27">
        <v>40</v>
      </c>
      <c r="O342" s="28">
        <v>823</v>
      </c>
      <c r="P342" s="29">
        <v>223685.31100000002</v>
      </c>
      <c r="Q342" s="30">
        <v>464094.8139999999</v>
      </c>
      <c r="R342" s="30">
        <v>495301.12100000004</v>
      </c>
      <c r="S342" s="30">
        <v>521635.25899999996</v>
      </c>
      <c r="T342" s="30">
        <v>493851.14500000002</v>
      </c>
      <c r="U342" s="30">
        <v>497240.07999999996</v>
      </c>
      <c r="V342" s="30">
        <v>508919.57099999988</v>
      </c>
      <c r="W342" s="30">
        <v>330799.72000000003</v>
      </c>
      <c r="X342" s="30">
        <v>162498.20699999999</v>
      </c>
      <c r="Y342" s="30">
        <v>78331.938999999984</v>
      </c>
      <c r="Z342" s="31">
        <v>3777730</v>
      </c>
      <c r="AA342" s="32">
        <f t="shared" si="26"/>
        <v>4.4705662411601086E-4</v>
      </c>
      <c r="AB342" s="32">
        <f t="shared" si="26"/>
        <v>9.6962945162321954E-5</v>
      </c>
      <c r="AC342" s="32">
        <f t="shared" si="26"/>
        <v>1.0296766519936868E-4</v>
      </c>
      <c r="AD342" s="32">
        <f t="shared" si="26"/>
        <v>1.0352060959897652E-4</v>
      </c>
      <c r="AE342" s="32">
        <f t="shared" si="26"/>
        <v>8.0996066132437534E-5</v>
      </c>
      <c r="AF342" s="32">
        <f t="shared" si="25"/>
        <v>1.0658835064140447E-4</v>
      </c>
      <c r="AG342" s="32">
        <f t="shared" si="25"/>
        <v>1.0217724560645756E-4</v>
      </c>
      <c r="AH342" s="32">
        <f t="shared" si="25"/>
        <v>2.1765435593476318E-4</v>
      </c>
      <c r="AI342" s="32">
        <f t="shared" si="25"/>
        <v>5.1692878063571497E-4</v>
      </c>
      <c r="AJ342" s="32">
        <f t="shared" si="25"/>
        <v>2.9617548468958499E-3</v>
      </c>
      <c r="AK342" s="33">
        <f t="shared" si="24"/>
        <v>2.1785569641027814E-4</v>
      </c>
    </row>
    <row r="343" spans="1:37" x14ac:dyDescent="0.3">
      <c r="A343" t="s">
        <v>76</v>
      </c>
      <c r="B343" s="1">
        <v>2016</v>
      </c>
      <c r="C343" s="1" t="str">
        <f t="shared" si="23"/>
        <v>Oregon, 2016</v>
      </c>
      <c r="D343" s="27">
        <v>133</v>
      </c>
      <c r="E343" s="27">
        <v>53</v>
      </c>
      <c r="F343" s="27">
        <v>59</v>
      </c>
      <c r="G343" s="27">
        <v>47</v>
      </c>
      <c r="H343" s="27">
        <v>62</v>
      </c>
      <c r="I343" s="27">
        <v>43</v>
      </c>
      <c r="J343" s="27">
        <v>49</v>
      </c>
      <c r="K343" s="27">
        <v>77</v>
      </c>
      <c r="L343" s="27">
        <v>87</v>
      </c>
      <c r="M343" s="27">
        <v>172</v>
      </c>
      <c r="N343" s="27">
        <v>62</v>
      </c>
      <c r="O343" s="28">
        <v>844</v>
      </c>
      <c r="P343" s="29">
        <v>230554.40299999999</v>
      </c>
      <c r="Q343" s="30">
        <v>479169.77999999997</v>
      </c>
      <c r="R343" s="30">
        <v>509292.72499999998</v>
      </c>
      <c r="S343" s="30">
        <v>546719.34000000008</v>
      </c>
      <c r="T343" s="30">
        <v>516977.07700000005</v>
      </c>
      <c r="U343" s="30">
        <v>514357.321</v>
      </c>
      <c r="V343" s="30">
        <v>536704.63099999994</v>
      </c>
      <c r="W343" s="30">
        <v>373606.99100000004</v>
      </c>
      <c r="X343" s="30">
        <v>175018.73500000002</v>
      </c>
      <c r="Y343" s="30">
        <v>84529.168999999994</v>
      </c>
      <c r="Z343" s="31">
        <v>3966871</v>
      </c>
      <c r="AA343" s="32">
        <f t="shared" si="26"/>
        <v>5.7687035367526686E-4</v>
      </c>
      <c r="AB343" s="32">
        <f t="shared" si="26"/>
        <v>1.1060797698886604E-4</v>
      </c>
      <c r="AC343" s="32">
        <f t="shared" si="26"/>
        <v>1.1584693262602564E-4</v>
      </c>
      <c r="AD343" s="32">
        <f t="shared" si="26"/>
        <v>8.5967326489675653E-5</v>
      </c>
      <c r="AE343" s="32">
        <f t="shared" si="26"/>
        <v>1.199279479852063E-4</v>
      </c>
      <c r="AF343" s="32">
        <f t="shared" si="25"/>
        <v>8.3599471115528273E-5</v>
      </c>
      <c r="AG343" s="32">
        <f t="shared" si="25"/>
        <v>9.1297889322665467E-5</v>
      </c>
      <c r="AH343" s="32">
        <f t="shared" si="25"/>
        <v>2.0609892709422023E-4</v>
      </c>
      <c r="AI343" s="32">
        <f t="shared" si="25"/>
        <v>4.9708964014623911E-4</v>
      </c>
      <c r="AJ343" s="32">
        <f t="shared" si="25"/>
        <v>2.034800555060467E-3</v>
      </c>
      <c r="AK343" s="33">
        <f t="shared" si="24"/>
        <v>2.1276214931113214E-4</v>
      </c>
    </row>
    <row r="344" spans="1:37" x14ac:dyDescent="0.3">
      <c r="A344" t="s">
        <v>76</v>
      </c>
      <c r="B344" s="1">
        <v>2017</v>
      </c>
      <c r="C344" s="1" t="str">
        <f t="shared" si="23"/>
        <v>Oregon, 2017</v>
      </c>
      <c r="D344" s="27">
        <v>111</v>
      </c>
      <c r="E344" s="27">
        <v>40</v>
      </c>
      <c r="F344" s="27">
        <v>53</v>
      </c>
      <c r="G344" s="27">
        <v>53</v>
      </c>
      <c r="H344" s="27">
        <v>43</v>
      </c>
      <c r="I344" s="27">
        <v>50</v>
      </c>
      <c r="J344" s="27">
        <v>67</v>
      </c>
      <c r="K344" s="27">
        <v>85</v>
      </c>
      <c r="L344" s="27">
        <v>116</v>
      </c>
      <c r="M344" s="27">
        <v>268</v>
      </c>
      <c r="N344" s="27">
        <v>63</v>
      </c>
      <c r="O344" s="28">
        <v>949</v>
      </c>
      <c r="P344" s="29">
        <v>226325</v>
      </c>
      <c r="Q344" s="30">
        <v>473121</v>
      </c>
      <c r="R344" s="30">
        <v>498437</v>
      </c>
      <c r="S344" s="30">
        <v>547071</v>
      </c>
      <c r="T344" s="30">
        <v>516189</v>
      </c>
      <c r="U344" s="30">
        <v>501426</v>
      </c>
      <c r="V344" s="30">
        <v>523704</v>
      </c>
      <c r="W344" s="30">
        <v>377186</v>
      </c>
      <c r="X344" s="30">
        <v>172602</v>
      </c>
      <c r="Y344" s="30">
        <v>80446</v>
      </c>
      <c r="Z344" s="31">
        <v>3916507</v>
      </c>
      <c r="AA344" s="32">
        <f t="shared" si="26"/>
        <v>4.9044515630177843E-4</v>
      </c>
      <c r="AB344" s="32">
        <f t="shared" si="26"/>
        <v>8.4544968411886173E-5</v>
      </c>
      <c r="AC344" s="32">
        <f t="shared" si="26"/>
        <v>1.0633239506697937E-4</v>
      </c>
      <c r="AD344" s="32">
        <f t="shared" si="26"/>
        <v>9.6879564078519969E-5</v>
      </c>
      <c r="AE344" s="32">
        <f t="shared" si="26"/>
        <v>8.3302821253455618E-5</v>
      </c>
      <c r="AF344" s="32">
        <f t="shared" si="25"/>
        <v>9.97156110772078E-5</v>
      </c>
      <c r="AG344" s="32">
        <f t="shared" si="25"/>
        <v>1.2793486396895956E-4</v>
      </c>
      <c r="AH344" s="32">
        <f t="shared" si="25"/>
        <v>2.2535300886035006E-4</v>
      </c>
      <c r="AI344" s="32">
        <f t="shared" si="25"/>
        <v>6.7206637234794493E-4</v>
      </c>
      <c r="AJ344" s="32">
        <f t="shared" si="25"/>
        <v>3.3314272928424036E-3</v>
      </c>
      <c r="AK344" s="33">
        <f t="shared" si="24"/>
        <v>2.4230775024786116E-4</v>
      </c>
    </row>
    <row r="345" spans="1:37" x14ac:dyDescent="0.3">
      <c r="A345" t="s">
        <v>77</v>
      </c>
      <c r="B345" s="1">
        <v>2009</v>
      </c>
      <c r="C345" s="1" t="str">
        <f t="shared" si="23"/>
        <v>Pennsylvania, 2009</v>
      </c>
      <c r="D345" s="27">
        <v>88</v>
      </c>
      <c r="E345" s="27">
        <v>49</v>
      </c>
      <c r="F345" s="27">
        <v>57</v>
      </c>
      <c r="G345" s="27">
        <v>46</v>
      </c>
      <c r="H345" s="27">
        <v>61</v>
      </c>
      <c r="I345" s="27">
        <v>101</v>
      </c>
      <c r="J345" s="27">
        <v>181</v>
      </c>
      <c r="K345" s="27">
        <v>270</v>
      </c>
      <c r="L345" s="27">
        <v>686</v>
      </c>
      <c r="M345" s="27">
        <v>1232</v>
      </c>
      <c r="N345" s="27">
        <v>57</v>
      </c>
      <c r="O345" s="28">
        <v>2828</v>
      </c>
      <c r="P345" s="29">
        <v>739141.19899999979</v>
      </c>
      <c r="Q345" s="30">
        <v>1545708.8149999995</v>
      </c>
      <c r="R345" s="30">
        <v>1717902.9739999997</v>
      </c>
      <c r="S345" s="30">
        <v>1500928.5100000002</v>
      </c>
      <c r="T345" s="30">
        <v>1727959.683</v>
      </c>
      <c r="U345" s="30">
        <v>1915532.784</v>
      </c>
      <c r="V345" s="30">
        <v>1453344.2419999996</v>
      </c>
      <c r="W345" s="30">
        <v>916825.93900000001</v>
      </c>
      <c r="X345" s="30">
        <v>714108.0060000004</v>
      </c>
      <c r="Y345" s="30">
        <v>284686.71100000001</v>
      </c>
      <c r="Z345" s="31">
        <v>12516596</v>
      </c>
      <c r="AA345" s="32">
        <f t="shared" si="26"/>
        <v>1.1905708965899495E-4</v>
      </c>
      <c r="AB345" s="32">
        <f t="shared" si="26"/>
        <v>3.1700666726158262E-5</v>
      </c>
      <c r="AC345" s="32">
        <f t="shared" si="26"/>
        <v>3.317998796362757E-5</v>
      </c>
      <c r="AD345" s="32">
        <f t="shared" si="26"/>
        <v>3.0647695538810168E-5</v>
      </c>
      <c r="AE345" s="32">
        <f t="shared" si="26"/>
        <v>3.5301749572128183E-5</v>
      </c>
      <c r="AF345" s="32">
        <f t="shared" si="25"/>
        <v>5.2726844898520934E-5</v>
      </c>
      <c r="AG345" s="32">
        <f t="shared" si="25"/>
        <v>1.2454034960837588E-4</v>
      </c>
      <c r="AH345" s="32">
        <f t="shared" si="25"/>
        <v>2.9449428568141767E-4</v>
      </c>
      <c r="AI345" s="32">
        <f t="shared" si="25"/>
        <v>9.6063899891356155E-4</v>
      </c>
      <c r="AJ345" s="32">
        <f t="shared" si="25"/>
        <v>4.3275641341755499E-3</v>
      </c>
      <c r="AK345" s="33">
        <f t="shared" si="24"/>
        <v>2.2594002394900339E-4</v>
      </c>
    </row>
    <row r="346" spans="1:37" x14ac:dyDescent="0.3">
      <c r="A346" t="s">
        <v>77</v>
      </c>
      <c r="B346" s="1">
        <v>2010</v>
      </c>
      <c r="C346" s="1" t="str">
        <f t="shared" si="23"/>
        <v>Pennsylvania, 2010</v>
      </c>
      <c r="D346" s="27">
        <v>119</v>
      </c>
      <c r="E346" s="27">
        <v>36</v>
      </c>
      <c r="F346" s="27">
        <v>47</v>
      </c>
      <c r="G346" s="27">
        <v>67</v>
      </c>
      <c r="H346" s="27">
        <v>51</v>
      </c>
      <c r="I346" s="27">
        <v>60</v>
      </c>
      <c r="J346" s="27">
        <v>132</v>
      </c>
      <c r="K346" s="27">
        <v>256</v>
      </c>
      <c r="L346" s="27">
        <v>615</v>
      </c>
      <c r="M346" s="27">
        <v>1176</v>
      </c>
      <c r="N346" s="27">
        <v>32</v>
      </c>
      <c r="O346" s="28">
        <v>2591</v>
      </c>
      <c r="P346" s="29">
        <v>725472.36099999992</v>
      </c>
      <c r="Q346" s="30">
        <v>1554319.3720000007</v>
      </c>
      <c r="R346" s="30">
        <v>1753352.3289999997</v>
      </c>
      <c r="S346" s="30">
        <v>1478699.139</v>
      </c>
      <c r="T346" s="30">
        <v>1683489.1369999996</v>
      </c>
      <c r="U346" s="30">
        <v>1923625.3540000001</v>
      </c>
      <c r="V346" s="30">
        <v>1517166.7909999995</v>
      </c>
      <c r="W346" s="30">
        <v>937049.86599999981</v>
      </c>
      <c r="X346" s="30">
        <v>696249.81799999985</v>
      </c>
      <c r="Y346" s="30">
        <v>286485.72899999999</v>
      </c>
      <c r="Z346" s="31">
        <v>12554832</v>
      </c>
      <c r="AA346" s="32">
        <f t="shared" si="26"/>
        <v>1.640310594823612E-4</v>
      </c>
      <c r="AB346" s="32">
        <f t="shared" si="26"/>
        <v>2.316126315383785E-5</v>
      </c>
      <c r="AC346" s="32">
        <f t="shared" si="26"/>
        <v>2.680579323541082E-5</v>
      </c>
      <c r="AD346" s="32">
        <f t="shared" si="26"/>
        <v>4.5310096038407178E-5</v>
      </c>
      <c r="AE346" s="32">
        <f t="shared" si="26"/>
        <v>3.0294225771413465E-5</v>
      </c>
      <c r="AF346" s="32">
        <f t="shared" si="25"/>
        <v>3.1191104793475289E-5</v>
      </c>
      <c r="AG346" s="32">
        <f t="shared" si="25"/>
        <v>8.700427717179056E-5</v>
      </c>
      <c r="AH346" s="32">
        <f t="shared" si="25"/>
        <v>2.7319784067927081E-4</v>
      </c>
      <c r="AI346" s="32">
        <f t="shared" si="25"/>
        <v>8.8330364202694864E-4</v>
      </c>
      <c r="AJ346" s="32">
        <f t="shared" si="25"/>
        <v>4.1049165140089753E-3</v>
      </c>
      <c r="AK346" s="33">
        <f t="shared" si="24"/>
        <v>2.0637472488680057E-4</v>
      </c>
    </row>
    <row r="347" spans="1:37" x14ac:dyDescent="0.3">
      <c r="A347" t="s">
        <v>77</v>
      </c>
      <c r="B347" s="1">
        <v>2011</v>
      </c>
      <c r="C347" s="1" t="str">
        <f t="shared" si="23"/>
        <v>Pennsylvania, 2011</v>
      </c>
      <c r="D347" s="27">
        <v>129</v>
      </c>
      <c r="E347" s="27">
        <v>47</v>
      </c>
      <c r="F347" s="27">
        <v>47</v>
      </c>
      <c r="G347" s="27">
        <v>57</v>
      </c>
      <c r="H347" s="27">
        <v>42</v>
      </c>
      <c r="I347" s="27">
        <v>76</v>
      </c>
      <c r="J347" s="27">
        <v>178</v>
      </c>
      <c r="K347" s="27">
        <v>312</v>
      </c>
      <c r="L347" s="27">
        <v>691</v>
      </c>
      <c r="M347" s="27">
        <v>1423</v>
      </c>
      <c r="N347" s="27">
        <v>48</v>
      </c>
      <c r="O347" s="28">
        <v>3050</v>
      </c>
      <c r="P347" s="29">
        <v>719528.58700000006</v>
      </c>
      <c r="Q347" s="30">
        <v>1531193.1270000001</v>
      </c>
      <c r="R347" s="30">
        <v>1752079.845</v>
      </c>
      <c r="S347" s="30">
        <v>1482355.7650000004</v>
      </c>
      <c r="T347" s="30">
        <v>1633339.2849999999</v>
      </c>
      <c r="U347" s="30">
        <v>1907539.253</v>
      </c>
      <c r="V347" s="30">
        <v>1557013.5330000001</v>
      </c>
      <c r="W347" s="30">
        <v>947127.22999999975</v>
      </c>
      <c r="X347" s="30">
        <v>677410.61300000001</v>
      </c>
      <c r="Y347" s="30">
        <v>292719.511</v>
      </c>
      <c r="Z347" s="31">
        <v>12505449</v>
      </c>
      <c r="AA347" s="32">
        <f t="shared" si="26"/>
        <v>1.7928405115612172E-4</v>
      </c>
      <c r="AB347" s="32">
        <f t="shared" si="26"/>
        <v>3.0695017611583101E-5</v>
      </c>
      <c r="AC347" s="32">
        <f t="shared" si="26"/>
        <v>2.6825261493719197E-5</v>
      </c>
      <c r="AD347" s="32">
        <f t="shared" si="26"/>
        <v>3.8452307702260655E-5</v>
      </c>
      <c r="AE347" s="32">
        <f t="shared" si="26"/>
        <v>2.571419201491869E-5</v>
      </c>
      <c r="AF347" s="32">
        <f t="shared" si="25"/>
        <v>3.9841906204799866E-5</v>
      </c>
      <c r="AG347" s="32">
        <f t="shared" si="25"/>
        <v>1.1432142125125639E-4</v>
      </c>
      <c r="AH347" s="32">
        <f t="shared" si="25"/>
        <v>3.2941719984125057E-4</v>
      </c>
      <c r="AI347" s="32">
        <f t="shared" si="25"/>
        <v>1.0200607825434232E-3</v>
      </c>
      <c r="AJ347" s="32">
        <f t="shared" si="25"/>
        <v>4.8613090228891509E-3</v>
      </c>
      <c r="AK347" s="33">
        <f t="shared" si="24"/>
        <v>2.4389368186620089E-4</v>
      </c>
    </row>
    <row r="348" spans="1:37" x14ac:dyDescent="0.3">
      <c r="A348" t="s">
        <v>77</v>
      </c>
      <c r="B348" s="1">
        <v>2012</v>
      </c>
      <c r="C348" s="1" t="str">
        <f t="shared" si="23"/>
        <v>Pennsylvania, 2012</v>
      </c>
      <c r="D348" s="27">
        <v>117</v>
      </c>
      <c r="E348" s="27">
        <v>50</v>
      </c>
      <c r="F348" s="27">
        <v>46</v>
      </c>
      <c r="G348" s="27">
        <v>36</v>
      </c>
      <c r="H348" s="27">
        <v>62</v>
      </c>
      <c r="I348" s="27">
        <v>57</v>
      </c>
      <c r="J348" s="27">
        <v>119</v>
      </c>
      <c r="K348" s="27">
        <v>258</v>
      </c>
      <c r="L348" s="27">
        <v>646</v>
      </c>
      <c r="M348" s="27">
        <v>1208</v>
      </c>
      <c r="N348" s="27">
        <v>41</v>
      </c>
      <c r="O348" s="28">
        <v>2640</v>
      </c>
      <c r="P348" s="29">
        <v>722424.2620000001</v>
      </c>
      <c r="Q348" s="30">
        <v>1533744.8569999994</v>
      </c>
      <c r="R348" s="30">
        <v>1761444.054</v>
      </c>
      <c r="S348" s="30">
        <v>1513076.6430000006</v>
      </c>
      <c r="T348" s="30">
        <v>1606425.2390000001</v>
      </c>
      <c r="U348" s="30">
        <v>1911483.2229999995</v>
      </c>
      <c r="V348" s="30">
        <v>1614674.6670000001</v>
      </c>
      <c r="W348" s="30">
        <v>985576.42499999958</v>
      </c>
      <c r="X348" s="30">
        <v>670712.89899999998</v>
      </c>
      <c r="Y348" s="30">
        <v>303341.68100000016</v>
      </c>
      <c r="Z348" s="31">
        <v>12620483</v>
      </c>
      <c r="AA348" s="32">
        <f t="shared" si="26"/>
        <v>1.6195469359803975E-4</v>
      </c>
      <c r="AB348" s="32">
        <f t="shared" si="26"/>
        <v>3.2599946315582018E-5</v>
      </c>
      <c r="AC348" s="32">
        <f t="shared" si="26"/>
        <v>2.6114936716576522E-5</v>
      </c>
      <c r="AD348" s="32">
        <f t="shared" si="26"/>
        <v>2.3792581933339636E-5</v>
      </c>
      <c r="AE348" s="32">
        <f t="shared" si="26"/>
        <v>3.85950111432481E-5</v>
      </c>
      <c r="AF348" s="32">
        <f t="shared" si="25"/>
        <v>2.9819775195589049E-5</v>
      </c>
      <c r="AG348" s="32">
        <f t="shared" si="25"/>
        <v>7.3699056802010253E-5</v>
      </c>
      <c r="AH348" s="32">
        <f t="shared" si="25"/>
        <v>2.6177574204861901E-4</v>
      </c>
      <c r="AI348" s="32">
        <f t="shared" si="25"/>
        <v>9.631542810092877E-4</v>
      </c>
      <c r="AJ348" s="32">
        <f t="shared" si="25"/>
        <v>3.9823079901769231E-3</v>
      </c>
      <c r="AK348" s="33">
        <f t="shared" si="24"/>
        <v>2.0918375310992457E-4</v>
      </c>
    </row>
    <row r="349" spans="1:37" x14ac:dyDescent="0.3">
      <c r="A349" t="s">
        <v>77</v>
      </c>
      <c r="B349" s="1">
        <v>2013</v>
      </c>
      <c r="C349" s="1" t="str">
        <f t="shared" si="23"/>
        <v>Pennsylvania, 2013</v>
      </c>
      <c r="D349" s="27">
        <v>95</v>
      </c>
      <c r="E349" s="27">
        <v>71</v>
      </c>
      <c r="F349" s="27">
        <v>51</v>
      </c>
      <c r="G349" s="27">
        <v>50</v>
      </c>
      <c r="H349" s="27">
        <v>52</v>
      </c>
      <c r="I349" s="27">
        <v>77</v>
      </c>
      <c r="J349" s="27">
        <v>189</v>
      </c>
      <c r="K349" s="27">
        <v>302</v>
      </c>
      <c r="L349" s="27">
        <v>708</v>
      </c>
      <c r="M349" s="27">
        <v>1526</v>
      </c>
      <c r="N349" s="27">
        <v>53</v>
      </c>
      <c r="O349" s="28">
        <v>3174</v>
      </c>
      <c r="P349" s="29">
        <v>714268.77099999972</v>
      </c>
      <c r="Q349" s="30">
        <v>1517906.3089999999</v>
      </c>
      <c r="R349" s="30">
        <v>1742321.4709999999</v>
      </c>
      <c r="S349" s="30">
        <v>1536297.287</v>
      </c>
      <c r="T349" s="30">
        <v>1566038.9239999996</v>
      </c>
      <c r="U349" s="30">
        <v>1880313.6539999999</v>
      </c>
      <c r="V349" s="30">
        <v>1650178.9879999997</v>
      </c>
      <c r="W349" s="30">
        <v>1008922.1810000002</v>
      </c>
      <c r="X349" s="30">
        <v>658782.26899999997</v>
      </c>
      <c r="Y349" s="30">
        <v>308273.74899999995</v>
      </c>
      <c r="Z349" s="31">
        <v>12581967</v>
      </c>
      <c r="AA349" s="32">
        <f t="shared" si="26"/>
        <v>1.3300315491463651E-4</v>
      </c>
      <c r="AB349" s="32">
        <f t="shared" si="26"/>
        <v>4.6774955462682649E-5</v>
      </c>
      <c r="AC349" s="32">
        <f t="shared" si="26"/>
        <v>2.9271291692645395E-5</v>
      </c>
      <c r="AD349" s="32">
        <f t="shared" si="26"/>
        <v>3.2545784219691851E-5</v>
      </c>
      <c r="AE349" s="32">
        <f t="shared" si="26"/>
        <v>3.3204794084671176E-5</v>
      </c>
      <c r="AF349" s="32">
        <f t="shared" si="25"/>
        <v>4.0950614721218209E-5</v>
      </c>
      <c r="AG349" s="32">
        <f t="shared" si="25"/>
        <v>1.1453303027998563E-4</v>
      </c>
      <c r="AH349" s="32">
        <f t="shared" si="25"/>
        <v>2.9932932954320678E-4</v>
      </c>
      <c r="AI349" s="32">
        <f t="shared" si="25"/>
        <v>1.074710163457663E-3</v>
      </c>
      <c r="AJ349" s="32">
        <f t="shared" si="25"/>
        <v>4.9501457874702144E-3</v>
      </c>
      <c r="AK349" s="33">
        <f t="shared" si="24"/>
        <v>2.5226580231850872E-4</v>
      </c>
    </row>
    <row r="350" spans="1:37" x14ac:dyDescent="0.3">
      <c r="A350" t="s">
        <v>77</v>
      </c>
      <c r="B350" s="1">
        <v>2014</v>
      </c>
      <c r="C350" s="1" t="str">
        <f t="shared" si="23"/>
        <v>Pennsylvania, 2014</v>
      </c>
      <c r="D350" s="27">
        <v>137</v>
      </c>
      <c r="E350" s="27">
        <v>50</v>
      </c>
      <c r="F350" s="27">
        <v>62</v>
      </c>
      <c r="G350" s="27">
        <v>58</v>
      </c>
      <c r="H350" s="27">
        <v>33</v>
      </c>
      <c r="I350" s="27">
        <v>109</v>
      </c>
      <c r="J350" s="27">
        <v>216</v>
      </c>
      <c r="K350" s="27">
        <v>320</v>
      </c>
      <c r="L350" s="27">
        <v>611</v>
      </c>
      <c r="M350" s="27">
        <v>1232</v>
      </c>
      <c r="N350" s="27">
        <v>60</v>
      </c>
      <c r="O350" s="28">
        <v>2888</v>
      </c>
      <c r="P350" s="29">
        <v>707809.80200000014</v>
      </c>
      <c r="Q350" s="30">
        <v>1500385.8240000007</v>
      </c>
      <c r="R350" s="30">
        <v>1704740.8940000001</v>
      </c>
      <c r="S350" s="30">
        <v>1553945.6520000002</v>
      </c>
      <c r="T350" s="30">
        <v>1527466.4590000005</v>
      </c>
      <c r="U350" s="30">
        <v>1841054.5560000001</v>
      </c>
      <c r="V350" s="30">
        <v>1675761.3499999996</v>
      </c>
      <c r="W350" s="30">
        <v>1040421.5850000002</v>
      </c>
      <c r="X350" s="30">
        <v>647891.70000000007</v>
      </c>
      <c r="Y350" s="30">
        <v>313739.51799999998</v>
      </c>
      <c r="Z350" s="31">
        <v>12509111</v>
      </c>
      <c r="AA350" s="32">
        <f t="shared" si="26"/>
        <v>1.9355482166662615E-4</v>
      </c>
      <c r="AB350" s="32">
        <f t="shared" si="26"/>
        <v>3.3324761671435235E-5</v>
      </c>
      <c r="AC350" s="32">
        <f t="shared" si="26"/>
        <v>3.6369163324593769E-5</v>
      </c>
      <c r="AD350" s="32">
        <f t="shared" si="26"/>
        <v>3.7324342666264616E-5</v>
      </c>
      <c r="AE350" s="32">
        <f t="shared" si="26"/>
        <v>2.1604402378566395E-5</v>
      </c>
      <c r="AF350" s="32">
        <f t="shared" si="25"/>
        <v>5.9205198262468E-5</v>
      </c>
      <c r="AG350" s="32">
        <f t="shared" si="25"/>
        <v>1.2889663555016353E-4</v>
      </c>
      <c r="AH350" s="32">
        <f t="shared" si="25"/>
        <v>3.0756762894341522E-4</v>
      </c>
      <c r="AI350" s="32">
        <f t="shared" si="25"/>
        <v>9.4305884764382675E-4</v>
      </c>
      <c r="AJ350" s="32">
        <f t="shared" si="25"/>
        <v>3.9268244174455579E-3</v>
      </c>
      <c r="AK350" s="33">
        <f t="shared" si="24"/>
        <v>2.3087172221910893E-4</v>
      </c>
    </row>
    <row r="351" spans="1:37" x14ac:dyDescent="0.3">
      <c r="A351" t="s">
        <v>77</v>
      </c>
      <c r="B351" s="1">
        <v>2015</v>
      </c>
      <c r="C351" s="1" t="str">
        <f t="shared" si="23"/>
        <v>Pennsylvania, 2015</v>
      </c>
      <c r="D351" s="27">
        <v>123</v>
      </c>
      <c r="E351" s="27">
        <v>56</v>
      </c>
      <c r="F351" s="27">
        <v>64</v>
      </c>
      <c r="G351" s="27">
        <v>43</v>
      </c>
      <c r="H351" s="27">
        <v>56</v>
      </c>
      <c r="I351" s="27">
        <v>69</v>
      </c>
      <c r="J351" s="27">
        <v>201</v>
      </c>
      <c r="K351" s="27">
        <v>355</v>
      </c>
      <c r="L351" s="27">
        <v>697</v>
      </c>
      <c r="M351" s="27">
        <v>1508</v>
      </c>
      <c r="N351" s="27">
        <v>45</v>
      </c>
      <c r="O351" s="28">
        <v>3217</v>
      </c>
      <c r="P351" s="29">
        <v>701150.52600000019</v>
      </c>
      <c r="Q351" s="30">
        <v>1482466.4149999996</v>
      </c>
      <c r="R351" s="30">
        <v>1687587.4880000006</v>
      </c>
      <c r="S351" s="30">
        <v>1568066.8070000005</v>
      </c>
      <c r="T351" s="30">
        <v>1491925.3010000002</v>
      </c>
      <c r="U351" s="30">
        <v>1791664.1120000004</v>
      </c>
      <c r="V351" s="30">
        <v>1686521.8970000001</v>
      </c>
      <c r="W351" s="30">
        <v>1068900.6020000002</v>
      </c>
      <c r="X351" s="30">
        <v>635200.9859999998</v>
      </c>
      <c r="Y351" s="30">
        <v>309631.14000000007</v>
      </c>
      <c r="Z351" s="31">
        <v>12416042</v>
      </c>
      <c r="AA351" s="32">
        <f t="shared" si="26"/>
        <v>1.7542595411245541E-4</v>
      </c>
      <c r="AB351" s="32">
        <f t="shared" si="26"/>
        <v>3.7774886117740492E-5</v>
      </c>
      <c r="AC351" s="32">
        <f t="shared" si="26"/>
        <v>3.7923959768063875E-5</v>
      </c>
      <c r="AD351" s="32">
        <f t="shared" si="26"/>
        <v>2.7422301019346805E-5</v>
      </c>
      <c r="AE351" s="32">
        <f t="shared" si="26"/>
        <v>3.7535391324528512E-5</v>
      </c>
      <c r="AF351" s="32">
        <f t="shared" si="25"/>
        <v>3.8511682819262711E-5</v>
      </c>
      <c r="AG351" s="32">
        <f t="shared" si="25"/>
        <v>1.1918018992670096E-4</v>
      </c>
      <c r="AH351" s="32">
        <f t="shared" si="25"/>
        <v>3.321169427126957E-4</v>
      </c>
      <c r="AI351" s="32">
        <f t="shared" si="25"/>
        <v>1.0972904881479516E-3</v>
      </c>
      <c r="AJ351" s="32">
        <f t="shared" si="25"/>
        <v>4.8703111708983783E-3</v>
      </c>
      <c r="AK351" s="33">
        <f t="shared" si="24"/>
        <v>2.5910028332700548E-4</v>
      </c>
    </row>
    <row r="352" spans="1:37" x14ac:dyDescent="0.3">
      <c r="A352" t="s">
        <v>77</v>
      </c>
      <c r="B352" s="1">
        <v>2016</v>
      </c>
      <c r="C352" s="1" t="str">
        <f t="shared" si="23"/>
        <v>Pennsylvania, 2016</v>
      </c>
      <c r="D352" s="27">
        <v>104</v>
      </c>
      <c r="E352" s="27">
        <v>61</v>
      </c>
      <c r="F352" s="27">
        <v>55</v>
      </c>
      <c r="G352" s="27">
        <v>65</v>
      </c>
      <c r="H352" s="27">
        <v>37</v>
      </c>
      <c r="I352" s="27">
        <v>77</v>
      </c>
      <c r="J352" s="27">
        <v>162</v>
      </c>
      <c r="K352" s="27">
        <v>356</v>
      </c>
      <c r="L352" s="27">
        <v>624</v>
      </c>
      <c r="M352" s="27">
        <v>1191</v>
      </c>
      <c r="N352" s="27">
        <v>59</v>
      </c>
      <c r="O352" s="28">
        <v>2791</v>
      </c>
      <c r="P352" s="29">
        <v>710545.82400000002</v>
      </c>
      <c r="Q352" s="30">
        <v>1500321.0220000001</v>
      </c>
      <c r="R352" s="30">
        <v>1699946.6779999994</v>
      </c>
      <c r="S352" s="30">
        <v>1626930.7289999998</v>
      </c>
      <c r="T352" s="30">
        <v>1507055.6879999998</v>
      </c>
      <c r="U352" s="30">
        <v>1790625.9659999993</v>
      </c>
      <c r="V352" s="30">
        <v>1748195.7829999998</v>
      </c>
      <c r="W352" s="30">
        <v>1142091.4390000002</v>
      </c>
      <c r="X352" s="30">
        <v>652062.63000000012</v>
      </c>
      <c r="Y352" s="30">
        <v>320980.967</v>
      </c>
      <c r="Z352" s="31">
        <v>12694677</v>
      </c>
      <c r="AA352" s="32">
        <f t="shared" si="26"/>
        <v>1.4636635173581711E-4</v>
      </c>
      <c r="AB352" s="32">
        <f t="shared" si="26"/>
        <v>4.0657965265782961E-5</v>
      </c>
      <c r="AC352" s="32">
        <f t="shared" si="26"/>
        <v>3.2353955986847735E-5</v>
      </c>
      <c r="AD352" s="32">
        <f t="shared" si="26"/>
        <v>3.9952530763219731E-5</v>
      </c>
      <c r="AE352" s="32">
        <f t="shared" si="26"/>
        <v>2.4551183008441029E-5</v>
      </c>
      <c r="AF352" s="32">
        <f t="shared" si="25"/>
        <v>4.3001722002282204E-5</v>
      </c>
      <c r="AG352" s="32">
        <f t="shared" si="25"/>
        <v>9.266696646642124E-5</v>
      </c>
      <c r="AH352" s="32">
        <f t="shared" si="25"/>
        <v>3.1170884207985024E-4</v>
      </c>
      <c r="AI352" s="32">
        <f t="shared" si="25"/>
        <v>9.5696329047410659E-4</v>
      </c>
      <c r="AJ352" s="32">
        <f t="shared" si="25"/>
        <v>3.7105003799181649E-3</v>
      </c>
      <c r="AK352" s="33">
        <f t="shared" si="24"/>
        <v>2.1985592859117252E-4</v>
      </c>
    </row>
    <row r="353" spans="1:37" x14ac:dyDescent="0.3">
      <c r="A353" t="s">
        <v>77</v>
      </c>
      <c r="B353" s="1">
        <v>2017</v>
      </c>
      <c r="C353" s="1" t="str">
        <f t="shared" si="23"/>
        <v>Pennsylvania, 2017</v>
      </c>
      <c r="D353" s="27">
        <v>113</v>
      </c>
      <c r="E353" s="27">
        <v>37</v>
      </c>
      <c r="F353" s="27">
        <v>31</v>
      </c>
      <c r="G353" s="27">
        <v>60</v>
      </c>
      <c r="H353" s="27">
        <v>51</v>
      </c>
      <c r="I353" s="27">
        <v>65</v>
      </c>
      <c r="J353" s="27">
        <v>199</v>
      </c>
      <c r="K353" s="27">
        <v>360</v>
      </c>
      <c r="L353" s="27">
        <v>611</v>
      </c>
      <c r="M353" s="27">
        <v>1422</v>
      </c>
      <c r="N353" s="27">
        <v>58</v>
      </c>
      <c r="O353" s="28">
        <v>3007</v>
      </c>
      <c r="P353" s="29">
        <v>708990</v>
      </c>
      <c r="Q353" s="30">
        <v>1495298</v>
      </c>
      <c r="R353" s="30">
        <v>1685984</v>
      </c>
      <c r="S353" s="30">
        <v>1642832</v>
      </c>
      <c r="T353" s="30">
        <v>1496220</v>
      </c>
      <c r="U353" s="30">
        <v>1763859</v>
      </c>
      <c r="V353" s="30">
        <v>1778230</v>
      </c>
      <c r="W353" s="30">
        <v>1192365</v>
      </c>
      <c r="X353" s="30">
        <v>657418</v>
      </c>
      <c r="Y353" s="30">
        <v>324081</v>
      </c>
      <c r="Z353" s="31">
        <v>12745277</v>
      </c>
      <c r="AA353" s="32">
        <f t="shared" si="26"/>
        <v>1.5938165559457822E-4</v>
      </c>
      <c r="AB353" s="32">
        <f t="shared" si="26"/>
        <v>2.4744231584607216E-5</v>
      </c>
      <c r="AC353" s="32">
        <f t="shared" si="26"/>
        <v>1.838688860629757E-5</v>
      </c>
      <c r="AD353" s="32">
        <f t="shared" si="26"/>
        <v>3.652229808038801E-5</v>
      </c>
      <c r="AE353" s="32">
        <f t="shared" si="26"/>
        <v>3.4085896459076876E-5</v>
      </c>
      <c r="AF353" s="32">
        <f t="shared" si="25"/>
        <v>3.6851018136937248E-5</v>
      </c>
      <c r="AG353" s="32">
        <f t="shared" si="25"/>
        <v>1.1190903313969509E-4</v>
      </c>
      <c r="AH353" s="32">
        <f t="shared" si="25"/>
        <v>3.0192097218553044E-4</v>
      </c>
      <c r="AI353" s="32">
        <f t="shared" si="25"/>
        <v>9.2939347568822268E-4</v>
      </c>
      <c r="AJ353" s="32">
        <f t="shared" si="25"/>
        <v>4.3877919409036634E-3</v>
      </c>
      <c r="AK353" s="33">
        <f t="shared" si="24"/>
        <v>2.359305333261882E-4</v>
      </c>
    </row>
    <row r="354" spans="1:37" x14ac:dyDescent="0.3">
      <c r="A354" t="s">
        <v>78</v>
      </c>
      <c r="B354" s="1">
        <v>2009</v>
      </c>
      <c r="C354" s="1" t="str">
        <f t="shared" si="23"/>
        <v>Rhode Island, 2009</v>
      </c>
      <c r="D354" s="27">
        <v>99</v>
      </c>
      <c r="E354" s="27">
        <v>61</v>
      </c>
      <c r="F354" s="27">
        <v>55</v>
      </c>
      <c r="G354" s="27">
        <v>63</v>
      </c>
      <c r="H354" s="27">
        <v>53</v>
      </c>
      <c r="I354" s="27">
        <v>59</v>
      </c>
      <c r="J354" s="27">
        <v>57</v>
      </c>
      <c r="K354" s="27">
        <v>50</v>
      </c>
      <c r="L354" s="27">
        <v>63</v>
      </c>
      <c r="M354" s="27">
        <v>97</v>
      </c>
      <c r="N354" s="27">
        <v>67</v>
      </c>
      <c r="O354" s="28">
        <v>724</v>
      </c>
      <c r="P354" s="29">
        <v>61090.154999999999</v>
      </c>
      <c r="Q354" s="30">
        <v>129218.09700000001</v>
      </c>
      <c r="R354" s="30">
        <v>152566.22200000001</v>
      </c>
      <c r="S354" s="30">
        <v>132592.07399999999</v>
      </c>
      <c r="T354" s="30">
        <v>153612.867</v>
      </c>
      <c r="U354" s="30">
        <v>160689.891</v>
      </c>
      <c r="V354" s="30">
        <v>118191.06200000001</v>
      </c>
      <c r="W354" s="30">
        <v>70282.956000000006</v>
      </c>
      <c r="X354" s="30">
        <v>55547.460999999996</v>
      </c>
      <c r="Y354" s="30">
        <v>23552.728000000003</v>
      </c>
      <c r="Z354" s="31">
        <v>1057381</v>
      </c>
      <c r="AA354" s="32">
        <f t="shared" si="26"/>
        <v>1.6205557180203585E-3</v>
      </c>
      <c r="AB354" s="32">
        <f t="shared" si="26"/>
        <v>4.7207010021204688E-4</v>
      </c>
      <c r="AC354" s="32">
        <f t="shared" si="26"/>
        <v>3.6049919358952204E-4</v>
      </c>
      <c r="AD354" s="32">
        <f t="shared" si="26"/>
        <v>4.7514152316525347E-4</v>
      </c>
      <c r="AE354" s="32">
        <f t="shared" si="26"/>
        <v>3.4502318090319869E-4</v>
      </c>
      <c r="AF354" s="32">
        <f t="shared" si="25"/>
        <v>3.6716684312145063E-4</v>
      </c>
      <c r="AG354" s="32">
        <f t="shared" si="25"/>
        <v>4.8226997063449684E-4</v>
      </c>
      <c r="AH354" s="32">
        <f t="shared" si="25"/>
        <v>7.1141003232704099E-4</v>
      </c>
      <c r="AI354" s="32">
        <f t="shared" si="25"/>
        <v>1.1341652501452768E-3</v>
      </c>
      <c r="AJ354" s="32">
        <f t="shared" si="25"/>
        <v>4.1184188939811977E-3</v>
      </c>
      <c r="AK354" s="33">
        <f t="shared" si="24"/>
        <v>6.8471061991845896E-4</v>
      </c>
    </row>
    <row r="355" spans="1:37" x14ac:dyDescent="0.3">
      <c r="A355" t="s">
        <v>78</v>
      </c>
      <c r="B355" s="1">
        <v>2010</v>
      </c>
      <c r="C355" s="1" t="str">
        <f t="shared" si="23"/>
        <v>Rhode Island, 2010</v>
      </c>
      <c r="D355" s="27">
        <v>110</v>
      </c>
      <c r="E355" s="27">
        <v>31</v>
      </c>
      <c r="F355" s="27">
        <v>43</v>
      </c>
      <c r="G355" s="27">
        <v>61</v>
      </c>
      <c r="H355" s="27">
        <v>37</v>
      </c>
      <c r="I355" s="27">
        <v>49</v>
      </c>
      <c r="J355" s="27">
        <v>49</v>
      </c>
      <c r="K355" s="27">
        <v>48</v>
      </c>
      <c r="L355" s="27">
        <v>55</v>
      </c>
      <c r="M355" s="27">
        <v>99</v>
      </c>
      <c r="N355" s="27">
        <v>50</v>
      </c>
      <c r="O355" s="28">
        <v>632</v>
      </c>
      <c r="P355" s="29">
        <v>59283.511000000006</v>
      </c>
      <c r="Q355" s="30">
        <v>127533.791</v>
      </c>
      <c r="R355" s="30">
        <v>160698.1</v>
      </c>
      <c r="S355" s="30">
        <v>127788.056</v>
      </c>
      <c r="T355" s="30">
        <v>146914.60700000002</v>
      </c>
      <c r="U355" s="30">
        <v>160827.18800000002</v>
      </c>
      <c r="V355" s="30">
        <v>122761.476</v>
      </c>
      <c r="W355" s="30">
        <v>70635.231</v>
      </c>
      <c r="X355" s="30">
        <v>54667.648999999998</v>
      </c>
      <c r="Y355" s="30">
        <v>24560.228999999999</v>
      </c>
      <c r="Z355" s="31">
        <v>1056389</v>
      </c>
      <c r="AA355" s="32">
        <f t="shared" si="26"/>
        <v>1.8554906439330152E-3</v>
      </c>
      <c r="AB355" s="32">
        <f t="shared" si="26"/>
        <v>2.4307283392838218E-4</v>
      </c>
      <c r="AC355" s="32">
        <f t="shared" si="26"/>
        <v>2.6758250408685601E-4</v>
      </c>
      <c r="AD355" s="32">
        <f t="shared" si="26"/>
        <v>4.7735290691017321E-4</v>
      </c>
      <c r="AE355" s="32">
        <f t="shared" si="26"/>
        <v>2.5184697938170298E-4</v>
      </c>
      <c r="AF355" s="32">
        <f t="shared" si="25"/>
        <v>3.0467485385617755E-4</v>
      </c>
      <c r="AG355" s="32">
        <f t="shared" si="25"/>
        <v>3.9914801936724841E-4</v>
      </c>
      <c r="AH355" s="32">
        <f t="shared" si="25"/>
        <v>6.7954757591151646E-4</v>
      </c>
      <c r="AI355" s="32">
        <f t="shared" si="25"/>
        <v>1.0060794822180849E-3</v>
      </c>
      <c r="AJ355" s="32">
        <f t="shared" si="25"/>
        <v>4.0309070408097577E-3</v>
      </c>
      <c r="AK355" s="33">
        <f t="shared" si="24"/>
        <v>5.9826446507867841E-4</v>
      </c>
    </row>
    <row r="356" spans="1:37" x14ac:dyDescent="0.3">
      <c r="A356" t="s">
        <v>78</v>
      </c>
      <c r="B356" s="1">
        <v>2011</v>
      </c>
      <c r="C356" s="1" t="str">
        <f t="shared" si="23"/>
        <v>Rhode Island, 2011</v>
      </c>
      <c r="D356" s="27">
        <v>93</v>
      </c>
      <c r="E356" s="27">
        <v>61</v>
      </c>
      <c r="F356" s="27">
        <v>61</v>
      </c>
      <c r="G356" s="27">
        <v>57</v>
      </c>
      <c r="H356" s="27">
        <v>41</v>
      </c>
      <c r="I356" s="27">
        <v>50</v>
      </c>
      <c r="J356" s="27">
        <v>53</v>
      </c>
      <c r="K356" s="27">
        <v>41</v>
      </c>
      <c r="L356" s="27">
        <v>41</v>
      </c>
      <c r="M356" s="27">
        <v>126</v>
      </c>
      <c r="N356" s="27">
        <v>49</v>
      </c>
      <c r="O356" s="28">
        <v>673</v>
      </c>
      <c r="P356" s="29">
        <v>58002.8</v>
      </c>
      <c r="Q356" s="30">
        <v>126279.783</v>
      </c>
      <c r="R356" s="30">
        <v>161452.304</v>
      </c>
      <c r="S356" s="30">
        <v>127379.747</v>
      </c>
      <c r="T356" s="30">
        <v>142137.97</v>
      </c>
      <c r="U356" s="30">
        <v>160668.035</v>
      </c>
      <c r="V356" s="30">
        <v>127612.29800000001</v>
      </c>
      <c r="W356" s="30">
        <v>72231.608000000007</v>
      </c>
      <c r="X356" s="30">
        <v>53682.701000000001</v>
      </c>
      <c r="Y356" s="30">
        <v>25087.219000000001</v>
      </c>
      <c r="Z356" s="31">
        <v>1053959</v>
      </c>
      <c r="AA356" s="32">
        <f t="shared" si="26"/>
        <v>1.6033708717510188E-3</v>
      </c>
      <c r="AB356" s="32">
        <f t="shared" si="26"/>
        <v>4.830543619163489E-4</v>
      </c>
      <c r="AC356" s="32">
        <f t="shared" si="26"/>
        <v>3.7782056055390821E-4</v>
      </c>
      <c r="AD356" s="32">
        <f t="shared" si="26"/>
        <v>4.4748086993766758E-4</v>
      </c>
      <c r="AE356" s="32">
        <f t="shared" si="26"/>
        <v>2.884521285902704E-4</v>
      </c>
      <c r="AF356" s="32">
        <f t="shared" si="25"/>
        <v>3.1120066913123076E-4</v>
      </c>
      <c r="AG356" s="32">
        <f t="shared" si="25"/>
        <v>4.1532047326661259E-4</v>
      </c>
      <c r="AH356" s="32">
        <f t="shared" si="25"/>
        <v>5.676185417331426E-4</v>
      </c>
      <c r="AI356" s="32">
        <f t="shared" si="25"/>
        <v>7.6374696571247412E-4</v>
      </c>
      <c r="AJ356" s="32">
        <f t="shared" si="25"/>
        <v>5.022477780418786E-3</v>
      </c>
      <c r="AK356" s="33">
        <f t="shared" si="24"/>
        <v>6.3854476312645938E-4</v>
      </c>
    </row>
    <row r="357" spans="1:37" x14ac:dyDescent="0.3">
      <c r="A357" t="s">
        <v>78</v>
      </c>
      <c r="B357" s="1">
        <v>2012</v>
      </c>
      <c r="C357" s="1" t="str">
        <f t="shared" si="23"/>
        <v>Rhode Island, 2012</v>
      </c>
      <c r="D357" s="27">
        <v>125</v>
      </c>
      <c r="E357" s="27">
        <v>51</v>
      </c>
      <c r="F357" s="27">
        <v>60</v>
      </c>
      <c r="G357" s="27">
        <v>62</v>
      </c>
      <c r="H357" s="27">
        <v>54</v>
      </c>
      <c r="I357" s="27">
        <v>50</v>
      </c>
      <c r="J357" s="27">
        <v>52</v>
      </c>
      <c r="K357" s="27">
        <v>61</v>
      </c>
      <c r="L357" s="27">
        <v>67</v>
      </c>
      <c r="M357" s="27">
        <v>67</v>
      </c>
      <c r="N357" s="27">
        <v>53</v>
      </c>
      <c r="O357" s="28">
        <v>702</v>
      </c>
      <c r="P357" s="29">
        <v>56621.284999999996</v>
      </c>
      <c r="Q357" s="30">
        <v>124764.889</v>
      </c>
      <c r="R357" s="30">
        <v>161408.93099999998</v>
      </c>
      <c r="S357" s="30">
        <v>128129.56299999999</v>
      </c>
      <c r="T357" s="30">
        <v>137111.88399999999</v>
      </c>
      <c r="U357" s="30">
        <v>160128.08899999998</v>
      </c>
      <c r="V357" s="30">
        <v>130742.87300000001</v>
      </c>
      <c r="W357" s="30">
        <v>75064.736999999994</v>
      </c>
      <c r="X357" s="30">
        <v>51452.987000000001</v>
      </c>
      <c r="Y357" s="30">
        <v>26116.228000000003</v>
      </c>
      <c r="Z357" s="31">
        <v>1052471</v>
      </c>
      <c r="AA357" s="32">
        <f t="shared" si="26"/>
        <v>2.2076503562220465E-3</v>
      </c>
      <c r="AB357" s="32">
        <f t="shared" si="26"/>
        <v>4.0876884842177034E-4</v>
      </c>
      <c r="AC357" s="32">
        <f t="shared" si="26"/>
        <v>3.7172664256106128E-4</v>
      </c>
      <c r="AD357" s="32">
        <f t="shared" si="26"/>
        <v>4.8388520610188922E-4</v>
      </c>
      <c r="AE357" s="32">
        <f t="shared" si="26"/>
        <v>3.9383894688515842E-4</v>
      </c>
      <c r="AF357" s="32">
        <f t="shared" si="25"/>
        <v>3.1225002628989103E-4</v>
      </c>
      <c r="AG357" s="32">
        <f t="shared" si="25"/>
        <v>3.977272244889402E-4</v>
      </c>
      <c r="AH357" s="32">
        <f t="shared" si="25"/>
        <v>8.1263190198081964E-4</v>
      </c>
      <c r="AI357" s="32">
        <f t="shared" si="25"/>
        <v>1.3021595811337444E-3</v>
      </c>
      <c r="AJ357" s="32">
        <f t="shared" si="25"/>
        <v>2.5654547050209544E-3</v>
      </c>
      <c r="AK357" s="33">
        <f t="shared" si="24"/>
        <v>6.6700175111713287E-4</v>
      </c>
    </row>
    <row r="358" spans="1:37" x14ac:dyDescent="0.3">
      <c r="A358" t="s">
        <v>78</v>
      </c>
      <c r="B358" s="1">
        <v>2013</v>
      </c>
      <c r="C358" s="1" t="str">
        <f t="shared" si="23"/>
        <v>Rhode Island, 2013</v>
      </c>
      <c r="D358" s="27">
        <v>97</v>
      </c>
      <c r="E358" s="27">
        <v>76</v>
      </c>
      <c r="F358" s="27">
        <v>65</v>
      </c>
      <c r="G358" s="27">
        <v>64</v>
      </c>
      <c r="H358" s="27">
        <v>68</v>
      </c>
      <c r="I358" s="27">
        <v>43</v>
      </c>
      <c r="J358" s="27">
        <v>50</v>
      </c>
      <c r="K358" s="27">
        <v>63</v>
      </c>
      <c r="L358" s="27">
        <v>54</v>
      </c>
      <c r="M358" s="27">
        <v>98</v>
      </c>
      <c r="N358" s="27">
        <v>46</v>
      </c>
      <c r="O358" s="28">
        <v>724</v>
      </c>
      <c r="P358" s="29">
        <v>56278.313000000002</v>
      </c>
      <c r="Q358" s="30">
        <v>123212.005</v>
      </c>
      <c r="R358" s="30">
        <v>160714.88900000002</v>
      </c>
      <c r="S358" s="30">
        <v>129837.633</v>
      </c>
      <c r="T358" s="30">
        <v>133707.21699999998</v>
      </c>
      <c r="U358" s="30">
        <v>159528.177</v>
      </c>
      <c r="V358" s="30">
        <v>134099.59299999999</v>
      </c>
      <c r="W358" s="30">
        <v>78665.145999999993</v>
      </c>
      <c r="X358" s="30">
        <v>50036.478999999999</v>
      </c>
      <c r="Y358" s="30">
        <v>27201.741999999998</v>
      </c>
      <c r="Z358" s="31">
        <v>1051695</v>
      </c>
      <c r="AA358" s="32">
        <f t="shared" si="26"/>
        <v>1.723576895419733E-3</v>
      </c>
      <c r="AB358" s="32">
        <f t="shared" si="26"/>
        <v>6.168230116862395E-4</v>
      </c>
      <c r="AC358" s="32">
        <f t="shared" si="26"/>
        <v>4.0444292625557541E-4</v>
      </c>
      <c r="AD358" s="32">
        <f t="shared" si="26"/>
        <v>4.9292334218692976E-4</v>
      </c>
      <c r="AE358" s="32">
        <f t="shared" si="26"/>
        <v>5.0857389395816987E-4</v>
      </c>
      <c r="AF358" s="32">
        <f t="shared" si="25"/>
        <v>2.6954485915049351E-4</v>
      </c>
      <c r="AG358" s="32">
        <f t="shared" si="25"/>
        <v>3.7285720919376695E-4</v>
      </c>
      <c r="AH358" s="32">
        <f t="shared" si="25"/>
        <v>8.0086293871494253E-4</v>
      </c>
      <c r="AI358" s="32">
        <f t="shared" si="25"/>
        <v>1.0792126280508266E-3</v>
      </c>
      <c r="AJ358" s="32">
        <f t="shared" si="25"/>
        <v>3.6027104440590606E-3</v>
      </c>
      <c r="AK358" s="33">
        <f t="shared" si="24"/>
        <v>6.8841251503525263E-4</v>
      </c>
    </row>
    <row r="359" spans="1:37" x14ac:dyDescent="0.3">
      <c r="A359" t="s">
        <v>78</v>
      </c>
      <c r="B359" s="1">
        <v>2014</v>
      </c>
      <c r="C359" s="1" t="str">
        <f t="shared" si="23"/>
        <v>Rhode Island, 2014</v>
      </c>
      <c r="D359" s="27">
        <v>115</v>
      </c>
      <c r="E359" s="27">
        <v>72</v>
      </c>
      <c r="F359" s="27">
        <v>64</v>
      </c>
      <c r="G359" s="27">
        <v>55</v>
      </c>
      <c r="H359" s="27">
        <v>56</v>
      </c>
      <c r="I359" s="27">
        <v>55</v>
      </c>
      <c r="J359" s="27">
        <v>42</v>
      </c>
      <c r="K359" s="27">
        <v>63</v>
      </c>
      <c r="L359" s="27">
        <v>63</v>
      </c>
      <c r="M359" s="27">
        <v>94</v>
      </c>
      <c r="N359" s="27">
        <v>73</v>
      </c>
      <c r="O359" s="28">
        <v>752</v>
      </c>
      <c r="P359" s="29">
        <v>55335.516999999993</v>
      </c>
      <c r="Q359" s="30">
        <v>121847.66500000002</v>
      </c>
      <c r="R359" s="30">
        <v>159175.99799999999</v>
      </c>
      <c r="S359" s="30">
        <v>132136.65400000001</v>
      </c>
      <c r="T359" s="30">
        <v>130328.41</v>
      </c>
      <c r="U359" s="30">
        <v>156938.89800000002</v>
      </c>
      <c r="V359" s="30">
        <v>137176.37900000002</v>
      </c>
      <c r="W359" s="30">
        <v>81733.797000000006</v>
      </c>
      <c r="X359" s="30">
        <v>49353.993000000002</v>
      </c>
      <c r="Y359" s="30">
        <v>27806.086000000003</v>
      </c>
      <c r="Z359" s="31">
        <v>1053252</v>
      </c>
      <c r="AA359" s="32">
        <f t="shared" si="26"/>
        <v>2.0782312379949396E-3</v>
      </c>
      <c r="AB359" s="32">
        <f t="shared" si="26"/>
        <v>5.9090176245888651E-4</v>
      </c>
      <c r="AC359" s="32">
        <f t="shared" si="26"/>
        <v>4.0207066897108445E-4</v>
      </c>
      <c r="AD359" s="32">
        <f t="shared" si="26"/>
        <v>4.1623575544753839E-4</v>
      </c>
      <c r="AE359" s="32">
        <f t="shared" si="26"/>
        <v>4.296837504577858E-4</v>
      </c>
      <c r="AF359" s="32">
        <f t="shared" si="25"/>
        <v>3.5045486301299244E-4</v>
      </c>
      <c r="AG359" s="32">
        <f t="shared" si="25"/>
        <v>3.061751615414779E-4</v>
      </c>
      <c r="AH359" s="32">
        <f t="shared" si="25"/>
        <v>7.7079497481317299E-4</v>
      </c>
      <c r="AI359" s="32">
        <f t="shared" si="25"/>
        <v>1.2764924613090575E-3</v>
      </c>
      <c r="AJ359" s="32">
        <f t="shared" si="25"/>
        <v>3.3805548900337858E-3</v>
      </c>
      <c r="AK359" s="33">
        <f t="shared" si="24"/>
        <v>7.1397918067091259E-4</v>
      </c>
    </row>
    <row r="360" spans="1:37" x14ac:dyDescent="0.3">
      <c r="A360" t="s">
        <v>78</v>
      </c>
      <c r="B360" s="1">
        <v>2015</v>
      </c>
      <c r="C360" s="1" t="str">
        <f t="shared" si="23"/>
        <v>Rhode Island, 2015</v>
      </c>
      <c r="D360" s="27">
        <v>89</v>
      </c>
      <c r="E360" s="27">
        <v>49</v>
      </c>
      <c r="F360" s="27">
        <v>52</v>
      </c>
      <c r="G360" s="27">
        <v>50</v>
      </c>
      <c r="H360" s="27">
        <v>47</v>
      </c>
      <c r="I360" s="27">
        <v>80</v>
      </c>
      <c r="J360" s="27">
        <v>50</v>
      </c>
      <c r="K360" s="27">
        <v>64</v>
      </c>
      <c r="L360" s="27">
        <v>57</v>
      </c>
      <c r="M360" s="27">
        <v>150</v>
      </c>
      <c r="N360" s="27">
        <v>36</v>
      </c>
      <c r="O360" s="28">
        <v>724</v>
      </c>
      <c r="P360" s="29">
        <v>55183.571000000004</v>
      </c>
      <c r="Q360" s="30">
        <v>120373.49</v>
      </c>
      <c r="R360" s="30">
        <v>157451.75899999999</v>
      </c>
      <c r="S360" s="30">
        <v>135455.34500000003</v>
      </c>
      <c r="T360" s="30">
        <v>128363.307</v>
      </c>
      <c r="U360" s="30">
        <v>154491.245</v>
      </c>
      <c r="V360" s="30">
        <v>140199.717</v>
      </c>
      <c r="W360" s="30">
        <v>85703.991999999998</v>
      </c>
      <c r="X360" s="30">
        <v>48351.197</v>
      </c>
      <c r="Y360" s="30">
        <v>28543.698000000004</v>
      </c>
      <c r="Z360" s="31">
        <v>1053661</v>
      </c>
      <c r="AA360" s="32">
        <f t="shared" si="26"/>
        <v>1.6127988527599997E-3</v>
      </c>
      <c r="AB360" s="32">
        <f t="shared" si="26"/>
        <v>4.0706637316904242E-4</v>
      </c>
      <c r="AC360" s="32">
        <f t="shared" si="26"/>
        <v>3.3025988614074489E-4</v>
      </c>
      <c r="AD360" s="32">
        <f t="shared" si="26"/>
        <v>3.6912533794808899E-4</v>
      </c>
      <c r="AE360" s="32">
        <f t="shared" si="26"/>
        <v>3.6614824826848688E-4</v>
      </c>
      <c r="AF360" s="32">
        <f t="shared" si="25"/>
        <v>5.1782869637693714E-4</v>
      </c>
      <c r="AG360" s="32">
        <f t="shared" si="25"/>
        <v>3.5663410076640882E-4</v>
      </c>
      <c r="AH360" s="32">
        <f t="shared" si="25"/>
        <v>7.4675634712558078E-4</v>
      </c>
      <c r="AI360" s="32">
        <f t="shared" si="25"/>
        <v>1.1788746408904829E-3</v>
      </c>
      <c r="AJ360" s="32">
        <f t="shared" si="25"/>
        <v>5.2551004428368032E-3</v>
      </c>
      <c r="AK360" s="33">
        <f t="shared" si="24"/>
        <v>6.8712802314976071E-4</v>
      </c>
    </row>
    <row r="361" spans="1:37" x14ac:dyDescent="0.3">
      <c r="A361" t="s">
        <v>78</v>
      </c>
      <c r="B361" s="1">
        <v>2016</v>
      </c>
      <c r="C361" s="1" t="str">
        <f t="shared" si="23"/>
        <v>Rhode Island, 2016</v>
      </c>
      <c r="D361" s="27">
        <v>103</v>
      </c>
      <c r="E361" s="27">
        <v>63</v>
      </c>
      <c r="F361" s="27">
        <v>63</v>
      </c>
      <c r="G361" s="27">
        <v>46</v>
      </c>
      <c r="H361" s="27">
        <v>62</v>
      </c>
      <c r="I361" s="27">
        <v>50</v>
      </c>
      <c r="J361" s="27">
        <v>41</v>
      </c>
      <c r="K361" s="27">
        <v>61</v>
      </c>
      <c r="L361" s="27">
        <v>72</v>
      </c>
      <c r="M361" s="27">
        <v>74</v>
      </c>
      <c r="N361" s="27">
        <v>53</v>
      </c>
      <c r="O361" s="28">
        <v>688</v>
      </c>
      <c r="P361" s="29">
        <v>55056.796000000002</v>
      </c>
      <c r="Q361" s="30">
        <v>118658.35800000001</v>
      </c>
      <c r="R361" s="30">
        <v>156283.859</v>
      </c>
      <c r="S361" s="30">
        <v>138074.07199999999</v>
      </c>
      <c r="T361" s="30">
        <v>125863.67600000001</v>
      </c>
      <c r="U361" s="30">
        <v>152607.30099999998</v>
      </c>
      <c r="V361" s="30">
        <v>142242.617</v>
      </c>
      <c r="W361" s="30">
        <v>88888.597000000009</v>
      </c>
      <c r="X361" s="30">
        <v>47755.512000000002</v>
      </c>
      <c r="Y361" s="30">
        <v>28938.930999999997</v>
      </c>
      <c r="Z361" s="31">
        <v>1054491</v>
      </c>
      <c r="AA361" s="32">
        <f t="shared" si="26"/>
        <v>1.8707953873668929E-3</v>
      </c>
      <c r="AB361" s="32">
        <f t="shared" si="26"/>
        <v>5.3093605087641612E-4</v>
      </c>
      <c r="AC361" s="32">
        <f t="shared" si="26"/>
        <v>4.0311264645698312E-4</v>
      </c>
      <c r="AD361" s="32">
        <f t="shared" si="26"/>
        <v>3.3315451144223519E-4</v>
      </c>
      <c r="AE361" s="32">
        <f t="shared" si="26"/>
        <v>4.9259645014658557E-4</v>
      </c>
      <c r="AF361" s="32">
        <f t="shared" si="25"/>
        <v>3.2763832183887461E-4</v>
      </c>
      <c r="AG361" s="32">
        <f t="shared" si="25"/>
        <v>2.8823991617083367E-4</v>
      </c>
      <c r="AH361" s="32">
        <f t="shared" si="25"/>
        <v>6.8625225348083727E-4</v>
      </c>
      <c r="AI361" s="32">
        <f t="shared" si="25"/>
        <v>1.5076793648448371E-3</v>
      </c>
      <c r="AJ361" s="32">
        <f t="shared" si="25"/>
        <v>2.5571089685379189E-3</v>
      </c>
      <c r="AK361" s="33">
        <f t="shared" si="24"/>
        <v>6.5244748414163803E-4</v>
      </c>
    </row>
    <row r="362" spans="1:37" x14ac:dyDescent="0.3">
      <c r="A362" t="s">
        <v>78</v>
      </c>
      <c r="B362" s="1">
        <v>2017</v>
      </c>
      <c r="C362" s="1" t="str">
        <f t="shared" si="23"/>
        <v>Rhode Island, 2017</v>
      </c>
      <c r="D362" s="27">
        <v>116</v>
      </c>
      <c r="E362" s="27">
        <v>47</v>
      </c>
      <c r="F362" s="27">
        <v>48</v>
      </c>
      <c r="G362" s="27">
        <v>61</v>
      </c>
      <c r="H362" s="27">
        <v>56</v>
      </c>
      <c r="I362" s="27">
        <v>50</v>
      </c>
      <c r="J362" s="27">
        <v>47</v>
      </c>
      <c r="K362" s="27">
        <v>61</v>
      </c>
      <c r="L362" s="27">
        <v>59</v>
      </c>
      <c r="M362" s="27">
        <v>104</v>
      </c>
      <c r="N362" s="27">
        <v>54</v>
      </c>
      <c r="O362" s="28">
        <v>703</v>
      </c>
      <c r="P362" s="29">
        <v>54571</v>
      </c>
      <c r="Q362" s="30">
        <v>117794</v>
      </c>
      <c r="R362" s="30">
        <v>154512</v>
      </c>
      <c r="S362" s="30">
        <v>140547</v>
      </c>
      <c r="T362" s="30">
        <v>124511</v>
      </c>
      <c r="U362" s="30">
        <v>149424</v>
      </c>
      <c r="V362" s="30">
        <v>144635</v>
      </c>
      <c r="W362" s="30">
        <v>93339</v>
      </c>
      <c r="X362" s="30">
        <v>49153</v>
      </c>
      <c r="Y362" s="30">
        <v>27652</v>
      </c>
      <c r="Z362" s="31">
        <v>1056138</v>
      </c>
      <c r="AA362" s="32">
        <f t="shared" si="26"/>
        <v>2.1256711440142198E-3</v>
      </c>
      <c r="AB362" s="32">
        <f t="shared" si="26"/>
        <v>3.9900164694296823E-4</v>
      </c>
      <c r="AC362" s="32">
        <f t="shared" si="26"/>
        <v>3.1065548306927616E-4</v>
      </c>
      <c r="AD362" s="32">
        <f t="shared" si="26"/>
        <v>4.3401851337986579E-4</v>
      </c>
      <c r="AE362" s="32">
        <f t="shared" si="26"/>
        <v>4.4975945900362215E-4</v>
      </c>
      <c r="AF362" s="32">
        <f t="shared" si="25"/>
        <v>3.3461826748045832E-4</v>
      </c>
      <c r="AG362" s="32">
        <f t="shared" si="25"/>
        <v>3.2495592353164865E-4</v>
      </c>
      <c r="AH362" s="32">
        <f t="shared" si="25"/>
        <v>6.5353174985804431E-4</v>
      </c>
      <c r="AI362" s="32">
        <f t="shared" si="25"/>
        <v>1.200333652065998E-3</v>
      </c>
      <c r="AJ362" s="32">
        <f t="shared" si="25"/>
        <v>3.7610299435845507E-3</v>
      </c>
      <c r="AK362" s="33">
        <f t="shared" si="24"/>
        <v>6.6563271087679828E-4</v>
      </c>
    </row>
    <row r="363" spans="1:37" x14ac:dyDescent="0.3">
      <c r="A363" t="s">
        <v>79</v>
      </c>
      <c r="B363" s="1">
        <v>2009</v>
      </c>
      <c r="C363" s="1" t="str">
        <f t="shared" si="23"/>
        <v>South Carolina, 2009</v>
      </c>
      <c r="D363" s="27">
        <v>123</v>
      </c>
      <c r="E363" s="27">
        <v>67</v>
      </c>
      <c r="F363" s="27">
        <v>66</v>
      </c>
      <c r="G363" s="27">
        <v>58</v>
      </c>
      <c r="H363" s="27">
        <v>35</v>
      </c>
      <c r="I363" s="27">
        <v>67</v>
      </c>
      <c r="J363" s="27">
        <v>55</v>
      </c>
      <c r="K363" s="27">
        <v>74</v>
      </c>
      <c r="L363" s="27">
        <v>197</v>
      </c>
      <c r="M363" s="27">
        <v>296</v>
      </c>
      <c r="N363" s="27">
        <v>59</v>
      </c>
      <c r="O363" s="28">
        <v>1097</v>
      </c>
      <c r="P363" s="29">
        <v>295751.25200000009</v>
      </c>
      <c r="Q363" s="30">
        <v>571771.255</v>
      </c>
      <c r="R363" s="30">
        <v>622318.76599999995</v>
      </c>
      <c r="S363" s="30">
        <v>576709.62600000005</v>
      </c>
      <c r="T363" s="30">
        <v>606807.52399999986</v>
      </c>
      <c r="U363" s="30">
        <v>622042.08500000008</v>
      </c>
      <c r="V363" s="30">
        <v>514633.33399999997</v>
      </c>
      <c r="W363" s="30">
        <v>314381.929</v>
      </c>
      <c r="X363" s="30">
        <v>195406.98300000001</v>
      </c>
      <c r="Y363" s="30">
        <v>66003.995999999999</v>
      </c>
      <c r="Z363" s="31">
        <v>4386090</v>
      </c>
      <c r="AA363" s="32">
        <f t="shared" si="26"/>
        <v>4.1589003991773451E-4</v>
      </c>
      <c r="AB363" s="32">
        <f t="shared" si="26"/>
        <v>1.171797277566883E-4</v>
      </c>
      <c r="AC363" s="32">
        <f t="shared" si="26"/>
        <v>1.0605497311967611E-4</v>
      </c>
      <c r="AD363" s="32">
        <f t="shared" si="26"/>
        <v>1.0057054258359126E-4</v>
      </c>
      <c r="AE363" s="32">
        <f t="shared" si="26"/>
        <v>5.7678915662225715E-5</v>
      </c>
      <c r="AF363" s="32">
        <f t="shared" si="25"/>
        <v>1.0770975407556225E-4</v>
      </c>
      <c r="AG363" s="32">
        <f t="shared" si="25"/>
        <v>1.0687220661069732E-4</v>
      </c>
      <c r="AH363" s="32">
        <f t="shared" si="25"/>
        <v>2.3538248599524306E-4</v>
      </c>
      <c r="AI363" s="32">
        <f t="shared" si="25"/>
        <v>1.0081523033391288E-3</v>
      </c>
      <c r="AJ363" s="32">
        <f t="shared" si="25"/>
        <v>4.4845769640977492E-3</v>
      </c>
      <c r="AK363" s="33">
        <f t="shared" si="24"/>
        <v>2.5010886689511616E-4</v>
      </c>
    </row>
    <row r="364" spans="1:37" x14ac:dyDescent="0.3">
      <c r="A364" t="s">
        <v>79</v>
      </c>
      <c r="B364" s="1">
        <v>2010</v>
      </c>
      <c r="C364" s="1" t="str">
        <f t="shared" si="23"/>
        <v>South Carolina, 2010</v>
      </c>
      <c r="D364" s="27">
        <v>113</v>
      </c>
      <c r="E364" s="27">
        <v>40</v>
      </c>
      <c r="F364" s="27">
        <v>53</v>
      </c>
      <c r="G364" s="27">
        <v>38</v>
      </c>
      <c r="H364" s="27">
        <v>46</v>
      </c>
      <c r="I364" s="27">
        <v>55</v>
      </c>
      <c r="J364" s="27">
        <v>47</v>
      </c>
      <c r="K364" s="27">
        <v>89</v>
      </c>
      <c r="L364" s="27">
        <v>208</v>
      </c>
      <c r="M364" s="27">
        <v>327</v>
      </c>
      <c r="N364" s="27">
        <v>61</v>
      </c>
      <c r="O364" s="28">
        <v>1077</v>
      </c>
      <c r="P364" s="29">
        <v>292395.26299999998</v>
      </c>
      <c r="Q364" s="30">
        <v>577662.14300000016</v>
      </c>
      <c r="R364" s="30">
        <v>641453.07999999996</v>
      </c>
      <c r="S364" s="30">
        <v>568855.67600000009</v>
      </c>
      <c r="T364" s="30">
        <v>610386.74500000011</v>
      </c>
      <c r="U364" s="30">
        <v>645360.96499999997</v>
      </c>
      <c r="V364" s="30">
        <v>543774.38199999998</v>
      </c>
      <c r="W364" s="30">
        <v>332557.25100000005</v>
      </c>
      <c r="X364" s="30">
        <v>186231.94099999996</v>
      </c>
      <c r="Y364" s="30">
        <v>66375.846000000005</v>
      </c>
      <c r="Z364" s="31">
        <v>4464937</v>
      </c>
      <c r="AA364" s="32">
        <f t="shared" si="26"/>
        <v>3.8646316920667762E-4</v>
      </c>
      <c r="AB364" s="32">
        <f t="shared" si="26"/>
        <v>6.924462765080312E-5</v>
      </c>
      <c r="AC364" s="32">
        <f t="shared" si="26"/>
        <v>8.2624905316535388E-5</v>
      </c>
      <c r="AD364" s="32">
        <f t="shared" si="26"/>
        <v>6.6800774964931512E-5</v>
      </c>
      <c r="AE364" s="32">
        <f t="shared" si="26"/>
        <v>7.5362055904408586E-5</v>
      </c>
      <c r="AF364" s="32">
        <f t="shared" si="25"/>
        <v>8.5223623650680516E-5</v>
      </c>
      <c r="AG364" s="32">
        <f t="shared" si="25"/>
        <v>8.6432905917954776E-5</v>
      </c>
      <c r="AH364" s="32">
        <f t="shared" si="25"/>
        <v>2.6762309266262246E-4</v>
      </c>
      <c r="AI364" s="32">
        <f t="shared" si="25"/>
        <v>1.1168868180351514E-3</v>
      </c>
      <c r="AJ364" s="32">
        <f t="shared" si="25"/>
        <v>4.9264908804326196E-3</v>
      </c>
      <c r="AK364" s="33">
        <f t="shared" si="24"/>
        <v>2.4121280994558267E-4</v>
      </c>
    </row>
    <row r="365" spans="1:37" x14ac:dyDescent="0.3">
      <c r="A365" t="s">
        <v>79</v>
      </c>
      <c r="B365" s="1">
        <v>2011</v>
      </c>
      <c r="C365" s="1" t="str">
        <f t="shared" si="23"/>
        <v>South Carolina, 2011</v>
      </c>
      <c r="D365" s="27">
        <v>99</v>
      </c>
      <c r="E365" s="27">
        <v>65</v>
      </c>
      <c r="F365" s="27">
        <v>40</v>
      </c>
      <c r="G365" s="27">
        <v>37</v>
      </c>
      <c r="H365" s="27">
        <v>65</v>
      </c>
      <c r="I365" s="27">
        <v>55</v>
      </c>
      <c r="J365" s="27">
        <v>50</v>
      </c>
      <c r="K365" s="27">
        <v>81</v>
      </c>
      <c r="L365" s="27">
        <v>212</v>
      </c>
      <c r="M365" s="27">
        <v>313</v>
      </c>
      <c r="N365" s="27">
        <v>37</v>
      </c>
      <c r="O365" s="28">
        <v>1054</v>
      </c>
      <c r="P365" s="29">
        <v>284971.755</v>
      </c>
      <c r="Q365" s="30">
        <v>562844.39500000002</v>
      </c>
      <c r="R365" s="30">
        <v>627425.35300000012</v>
      </c>
      <c r="S365" s="30">
        <v>559754.05299999996</v>
      </c>
      <c r="T365" s="30">
        <v>580925.8280000001</v>
      </c>
      <c r="U365" s="30">
        <v>620378.49300000002</v>
      </c>
      <c r="V365" s="30">
        <v>540393.05500000005</v>
      </c>
      <c r="W365" s="30">
        <v>340602.16100000008</v>
      </c>
      <c r="X365" s="30">
        <v>182861.247</v>
      </c>
      <c r="Y365" s="30">
        <v>63990.325000000012</v>
      </c>
      <c r="Z365" s="31">
        <v>4364211</v>
      </c>
      <c r="AA365" s="32">
        <f t="shared" si="26"/>
        <v>3.4740285050355253E-4</v>
      </c>
      <c r="AB365" s="32">
        <f t="shared" si="26"/>
        <v>1.1548484905850399E-4</v>
      </c>
      <c r="AC365" s="32">
        <f t="shared" si="26"/>
        <v>6.3752603889438288E-5</v>
      </c>
      <c r="AD365" s="32">
        <f t="shared" si="26"/>
        <v>6.6100459302971776E-5</v>
      </c>
      <c r="AE365" s="32">
        <f t="shared" si="26"/>
        <v>1.1189035995142565E-4</v>
      </c>
      <c r="AF365" s="32">
        <f t="shared" si="25"/>
        <v>8.8655555633518712E-5</v>
      </c>
      <c r="AG365" s="32">
        <f t="shared" si="25"/>
        <v>9.2525245351274913E-5</v>
      </c>
      <c r="AH365" s="32">
        <f t="shared" si="25"/>
        <v>2.3781411063918641E-4</v>
      </c>
      <c r="AI365" s="32">
        <f t="shared" si="25"/>
        <v>1.1593489789556123E-3</v>
      </c>
      <c r="AJ365" s="32">
        <f t="shared" si="25"/>
        <v>4.8913644367332082E-3</v>
      </c>
      <c r="AK365" s="33">
        <f t="shared" si="24"/>
        <v>2.4150986283660438E-4</v>
      </c>
    </row>
    <row r="366" spans="1:37" x14ac:dyDescent="0.3">
      <c r="A366" t="s">
        <v>79</v>
      </c>
      <c r="B366" s="1">
        <v>2012</v>
      </c>
      <c r="C366" s="1" t="str">
        <f t="shared" si="23"/>
        <v>South Carolina, 2012</v>
      </c>
      <c r="D366" s="27">
        <v>112</v>
      </c>
      <c r="E366" s="27">
        <v>78</v>
      </c>
      <c r="F366" s="27">
        <v>55</v>
      </c>
      <c r="G366" s="27">
        <v>65</v>
      </c>
      <c r="H366" s="27">
        <v>52</v>
      </c>
      <c r="I366" s="27">
        <v>49</v>
      </c>
      <c r="J366" s="27">
        <v>65</v>
      </c>
      <c r="K366" s="27">
        <v>78</v>
      </c>
      <c r="L366" s="27">
        <v>209</v>
      </c>
      <c r="M366" s="27">
        <v>287</v>
      </c>
      <c r="N366" s="27">
        <v>66</v>
      </c>
      <c r="O366" s="28">
        <v>1116</v>
      </c>
      <c r="P366" s="29">
        <v>292899.88099999999</v>
      </c>
      <c r="Q366" s="30">
        <v>580155.03899999999</v>
      </c>
      <c r="R366" s="30">
        <v>650238.29999999981</v>
      </c>
      <c r="S366" s="30">
        <v>580104.58600000001</v>
      </c>
      <c r="T366" s="30">
        <v>588238.87099999993</v>
      </c>
      <c r="U366" s="30">
        <v>638621.62200000021</v>
      </c>
      <c r="V366" s="30">
        <v>571730.87300000002</v>
      </c>
      <c r="W366" s="30">
        <v>367455.87499999994</v>
      </c>
      <c r="X366" s="30">
        <v>190693.61</v>
      </c>
      <c r="Y366" s="30">
        <v>68504.097999999984</v>
      </c>
      <c r="Z366" s="31">
        <v>4528633</v>
      </c>
      <c r="AA366" s="32">
        <f t="shared" si="26"/>
        <v>3.8238322124821894E-4</v>
      </c>
      <c r="AB366" s="32">
        <f t="shared" si="26"/>
        <v>1.3444681982672566E-4</v>
      </c>
      <c r="AC366" s="32">
        <f t="shared" si="26"/>
        <v>8.4584374682328026E-5</v>
      </c>
      <c r="AD366" s="32">
        <f t="shared" si="26"/>
        <v>1.1204876080741758E-4</v>
      </c>
      <c r="AE366" s="32">
        <f t="shared" si="26"/>
        <v>8.8399462469388568E-5</v>
      </c>
      <c r="AF366" s="32">
        <f t="shared" si="25"/>
        <v>7.6727749753515212E-5</v>
      </c>
      <c r="AG366" s="32">
        <f t="shared" si="25"/>
        <v>1.1368985491185815E-4</v>
      </c>
      <c r="AH366" s="32">
        <f t="shared" si="25"/>
        <v>2.1227038484552741E-4</v>
      </c>
      <c r="AI366" s="32">
        <f t="shared" si="25"/>
        <v>1.0959989692365677E-3</v>
      </c>
      <c r="AJ366" s="32">
        <f t="shared" si="25"/>
        <v>4.1895303840071008E-3</v>
      </c>
      <c r="AK366" s="33">
        <f t="shared" si="24"/>
        <v>2.4643198068821209E-4</v>
      </c>
    </row>
    <row r="367" spans="1:37" x14ac:dyDescent="0.3">
      <c r="A367" t="s">
        <v>79</v>
      </c>
      <c r="B367" s="1">
        <v>2013</v>
      </c>
      <c r="C367" s="1" t="str">
        <f t="shared" si="23"/>
        <v>South Carolina, 2013</v>
      </c>
      <c r="D367" s="27">
        <v>96</v>
      </c>
      <c r="E367" s="27">
        <v>58</v>
      </c>
      <c r="F367" s="27">
        <v>68</v>
      </c>
      <c r="G367" s="27">
        <v>50</v>
      </c>
      <c r="H367" s="27">
        <v>53</v>
      </c>
      <c r="I367" s="27">
        <v>51</v>
      </c>
      <c r="J367" s="27">
        <v>65</v>
      </c>
      <c r="K367" s="27">
        <v>113</v>
      </c>
      <c r="L367" s="27">
        <v>181</v>
      </c>
      <c r="M367" s="27">
        <v>282</v>
      </c>
      <c r="N367" s="27">
        <v>66</v>
      </c>
      <c r="O367" s="28">
        <v>1083</v>
      </c>
      <c r="P367" s="29">
        <v>290243.06300000002</v>
      </c>
      <c r="Q367" s="30">
        <v>583500.13600000006</v>
      </c>
      <c r="R367" s="30">
        <v>646720.51999999979</v>
      </c>
      <c r="S367" s="30">
        <v>583966.84300000011</v>
      </c>
      <c r="T367" s="30">
        <v>582071.31099999999</v>
      </c>
      <c r="U367" s="30">
        <v>636957.02600000007</v>
      </c>
      <c r="V367" s="30">
        <v>581411.06599999988</v>
      </c>
      <c r="W367" s="30">
        <v>382518.75099999999</v>
      </c>
      <c r="X367" s="30">
        <v>193287.57399999999</v>
      </c>
      <c r="Y367" s="30">
        <v>70934.972000000009</v>
      </c>
      <c r="Z367" s="31">
        <v>4550435</v>
      </c>
      <c r="AA367" s="32">
        <f t="shared" si="26"/>
        <v>3.3075725913215019E-4</v>
      </c>
      <c r="AB367" s="32">
        <f t="shared" si="26"/>
        <v>9.9400148211790636E-5</v>
      </c>
      <c r="AC367" s="32">
        <f t="shared" si="26"/>
        <v>1.0514588279957473E-4</v>
      </c>
      <c r="AD367" s="32">
        <f t="shared" si="26"/>
        <v>8.5621299564091847E-5</v>
      </c>
      <c r="AE367" s="32">
        <f t="shared" si="26"/>
        <v>9.1054135461419438E-5</v>
      </c>
      <c r="AF367" s="32">
        <f t="shared" si="25"/>
        <v>8.0068195997888241E-5</v>
      </c>
      <c r="AG367" s="32">
        <f t="shared" si="25"/>
        <v>1.1179697773416651E-4</v>
      </c>
      <c r="AH367" s="32">
        <f t="shared" si="25"/>
        <v>2.9541035492924113E-4</v>
      </c>
      <c r="AI367" s="32">
        <f t="shared" si="25"/>
        <v>9.3642853627000356E-4</v>
      </c>
      <c r="AJ367" s="32">
        <f t="shared" si="25"/>
        <v>3.9754720703914564E-3</v>
      </c>
      <c r="AK367" s="33">
        <f t="shared" si="24"/>
        <v>2.3799922424998929E-4</v>
      </c>
    </row>
    <row r="368" spans="1:37" x14ac:dyDescent="0.3">
      <c r="A368" t="s">
        <v>79</v>
      </c>
      <c r="B368" s="1">
        <v>2014</v>
      </c>
      <c r="C368" s="1" t="str">
        <f t="shared" si="23"/>
        <v>South Carolina, 2014</v>
      </c>
      <c r="D368" s="27">
        <v>116</v>
      </c>
      <c r="E368" s="27">
        <v>50</v>
      </c>
      <c r="F368" s="27">
        <v>55</v>
      </c>
      <c r="G368" s="27">
        <v>47</v>
      </c>
      <c r="H368" s="27">
        <v>39</v>
      </c>
      <c r="I368" s="27">
        <v>66</v>
      </c>
      <c r="J368" s="27">
        <v>92</v>
      </c>
      <c r="K368" s="27">
        <v>106</v>
      </c>
      <c r="L368" s="27">
        <v>167</v>
      </c>
      <c r="M368" s="27">
        <v>253</v>
      </c>
      <c r="N368" s="27">
        <v>66</v>
      </c>
      <c r="O368" s="28">
        <v>1057</v>
      </c>
      <c r="P368" s="29">
        <v>288800.46799999994</v>
      </c>
      <c r="Q368" s="30">
        <v>590702.62899999996</v>
      </c>
      <c r="R368" s="30">
        <v>650130.12200000021</v>
      </c>
      <c r="S368" s="30">
        <v>595088.23300000001</v>
      </c>
      <c r="T368" s="30">
        <v>584194.11399999994</v>
      </c>
      <c r="U368" s="30">
        <v>640698.82799999986</v>
      </c>
      <c r="V368" s="30">
        <v>599000.36500000011</v>
      </c>
      <c r="W368" s="30">
        <v>408106.71400000009</v>
      </c>
      <c r="X368" s="30">
        <v>199578.70100000006</v>
      </c>
      <c r="Y368" s="30">
        <v>73434.371999999988</v>
      </c>
      <c r="Z368" s="31">
        <v>4629197</v>
      </c>
      <c r="AA368" s="32">
        <f t="shared" si="26"/>
        <v>4.0166139896975523E-4</v>
      </c>
      <c r="AB368" s="32">
        <f t="shared" si="26"/>
        <v>8.464495931674617E-5</v>
      </c>
      <c r="AC368" s="32">
        <f t="shared" si="26"/>
        <v>8.4598449047097038E-5</v>
      </c>
      <c r="AD368" s="32">
        <f t="shared" si="26"/>
        <v>7.8979884651827762E-5</v>
      </c>
      <c r="AE368" s="32">
        <f t="shared" si="26"/>
        <v>6.6758632217235933E-5</v>
      </c>
      <c r="AF368" s="32">
        <f t="shared" si="25"/>
        <v>1.0301251869934748E-4</v>
      </c>
      <c r="AG368" s="32">
        <f t="shared" si="25"/>
        <v>1.535892219364507E-4</v>
      </c>
      <c r="AH368" s="32">
        <f t="shared" si="25"/>
        <v>2.5973598660275894E-4</v>
      </c>
      <c r="AI368" s="32">
        <f t="shared" si="25"/>
        <v>8.3676263630957264E-4</v>
      </c>
      <c r="AJ368" s="32">
        <f t="shared" si="25"/>
        <v>3.4452531302371597E-3</v>
      </c>
      <c r="AK368" s="33">
        <f t="shared" si="24"/>
        <v>2.2833333729370341E-4</v>
      </c>
    </row>
    <row r="369" spans="1:37" x14ac:dyDescent="0.3">
      <c r="A369" t="s">
        <v>79</v>
      </c>
      <c r="B369" s="1">
        <v>2015</v>
      </c>
      <c r="C369" s="1" t="str">
        <f t="shared" si="23"/>
        <v>South Carolina, 2015</v>
      </c>
      <c r="D369" s="27">
        <v>106</v>
      </c>
      <c r="E369" s="27">
        <v>46</v>
      </c>
      <c r="F369" s="27">
        <v>72</v>
      </c>
      <c r="G369" s="27">
        <v>50</v>
      </c>
      <c r="H369" s="27">
        <v>47</v>
      </c>
      <c r="I369" s="27">
        <v>44</v>
      </c>
      <c r="J369" s="27">
        <v>71</v>
      </c>
      <c r="K369" s="27">
        <v>138</v>
      </c>
      <c r="L369" s="27">
        <v>221</v>
      </c>
      <c r="M369" s="27">
        <v>328</v>
      </c>
      <c r="N369" s="27">
        <v>64</v>
      </c>
      <c r="O369" s="28">
        <v>1187</v>
      </c>
      <c r="P369" s="29">
        <v>281527.86400000012</v>
      </c>
      <c r="Q369" s="30">
        <v>583380.09900000016</v>
      </c>
      <c r="R369" s="30">
        <v>627690.63</v>
      </c>
      <c r="S369" s="30">
        <v>589682.67100000009</v>
      </c>
      <c r="T369" s="30">
        <v>569961.78399999999</v>
      </c>
      <c r="U369" s="30">
        <v>621733.75399999996</v>
      </c>
      <c r="V369" s="30">
        <v>593983.37999999989</v>
      </c>
      <c r="W369" s="30">
        <v>420053.70199999993</v>
      </c>
      <c r="X369" s="30">
        <v>199897.48299999998</v>
      </c>
      <c r="Y369" s="30">
        <v>74656.42</v>
      </c>
      <c r="Z369" s="31">
        <v>4560820</v>
      </c>
      <c r="AA369" s="32">
        <f t="shared" si="26"/>
        <v>3.7651690491282937E-4</v>
      </c>
      <c r="AB369" s="32">
        <f t="shared" si="26"/>
        <v>7.8850821409319258E-5</v>
      </c>
      <c r="AC369" s="32">
        <f t="shared" si="26"/>
        <v>1.1470618893896823E-4</v>
      </c>
      <c r="AD369" s="32">
        <f t="shared" si="26"/>
        <v>8.4791367389529398E-5</v>
      </c>
      <c r="AE369" s="32">
        <f t="shared" si="26"/>
        <v>8.2461669044112614E-5</v>
      </c>
      <c r="AF369" s="32">
        <f t="shared" si="25"/>
        <v>7.0769842745259739E-5</v>
      </c>
      <c r="AG369" s="32">
        <f t="shared" si="25"/>
        <v>1.1953196400882465E-4</v>
      </c>
      <c r="AH369" s="32">
        <f t="shared" si="25"/>
        <v>3.2852942217373915E-4</v>
      </c>
      <c r="AI369" s="32">
        <f t="shared" si="25"/>
        <v>1.1055666969053332E-3</v>
      </c>
      <c r="AJ369" s="32">
        <f t="shared" si="25"/>
        <v>4.3934600667966664E-3</v>
      </c>
      <c r="AK369" s="33">
        <f t="shared" si="24"/>
        <v>2.602602163646011E-4</v>
      </c>
    </row>
    <row r="370" spans="1:37" x14ac:dyDescent="0.3">
      <c r="A370" t="s">
        <v>79</v>
      </c>
      <c r="B370" s="1">
        <v>2016</v>
      </c>
      <c r="C370" s="1" t="str">
        <f t="shared" si="23"/>
        <v>South Carolina, 2016</v>
      </c>
      <c r="D370" s="27">
        <v>115</v>
      </c>
      <c r="E370" s="27">
        <v>41</v>
      </c>
      <c r="F370" s="27">
        <v>58</v>
      </c>
      <c r="G370" s="27">
        <v>66</v>
      </c>
      <c r="H370" s="27">
        <v>61</v>
      </c>
      <c r="I370" s="27">
        <v>70</v>
      </c>
      <c r="J370" s="27">
        <v>68</v>
      </c>
      <c r="K370" s="27">
        <v>106</v>
      </c>
      <c r="L370" s="27">
        <v>165</v>
      </c>
      <c r="M370" s="27">
        <v>244</v>
      </c>
      <c r="N370" s="27">
        <v>64</v>
      </c>
      <c r="O370" s="28">
        <v>1058</v>
      </c>
      <c r="P370" s="29">
        <v>284293.2649999999</v>
      </c>
      <c r="Q370" s="30">
        <v>595767.41400000011</v>
      </c>
      <c r="R370" s="30">
        <v>632006.402</v>
      </c>
      <c r="S370" s="30">
        <v>612365.79900000012</v>
      </c>
      <c r="T370" s="30">
        <v>584529.27499999991</v>
      </c>
      <c r="U370" s="30">
        <v>636696.98000000021</v>
      </c>
      <c r="V370" s="30">
        <v>624984.3870000001</v>
      </c>
      <c r="W370" s="30">
        <v>466135.21599999996</v>
      </c>
      <c r="X370" s="30">
        <v>210776.47399999996</v>
      </c>
      <c r="Y370" s="30">
        <v>79066.991999999998</v>
      </c>
      <c r="Z370" s="31">
        <v>4730255</v>
      </c>
      <c r="AA370" s="32">
        <f t="shared" si="26"/>
        <v>4.0451186910811987E-4</v>
      </c>
      <c r="AB370" s="32">
        <f t="shared" si="26"/>
        <v>6.8818802499997082E-5</v>
      </c>
      <c r="AC370" s="32">
        <f t="shared" si="26"/>
        <v>9.1771222279485711E-5</v>
      </c>
      <c r="AD370" s="32">
        <f t="shared" si="26"/>
        <v>1.0777871675357884E-4</v>
      </c>
      <c r="AE370" s="32">
        <f t="shared" si="26"/>
        <v>1.0435747636420778E-4</v>
      </c>
      <c r="AF370" s="32">
        <f t="shared" si="25"/>
        <v>1.0994240933889772E-4</v>
      </c>
      <c r="AG370" s="32">
        <f t="shared" si="25"/>
        <v>1.0880271797893727E-4</v>
      </c>
      <c r="AH370" s="32">
        <f t="shared" si="25"/>
        <v>2.2740182754181785E-4</v>
      </c>
      <c r="AI370" s="32">
        <f t="shared" si="25"/>
        <v>7.8281981318275608E-4</v>
      </c>
      <c r="AJ370" s="32">
        <f t="shared" si="25"/>
        <v>3.085990674844441E-3</v>
      </c>
      <c r="AK370" s="33">
        <f t="shared" si="24"/>
        <v>2.2366658879912393E-4</v>
      </c>
    </row>
    <row r="371" spans="1:37" x14ac:dyDescent="0.3">
      <c r="A371" t="s">
        <v>79</v>
      </c>
      <c r="B371" s="1">
        <v>2017</v>
      </c>
      <c r="C371" s="1" t="str">
        <f t="shared" si="23"/>
        <v>South Carolina, 2017</v>
      </c>
      <c r="D371" s="27">
        <v>105</v>
      </c>
      <c r="E371" s="27">
        <v>43</v>
      </c>
      <c r="F371" s="27">
        <v>51</v>
      </c>
      <c r="G371" s="27">
        <v>66</v>
      </c>
      <c r="H371" s="27">
        <v>65</v>
      </c>
      <c r="I371" s="27">
        <v>49</v>
      </c>
      <c r="J371" s="27">
        <v>55</v>
      </c>
      <c r="K371" s="27">
        <v>103</v>
      </c>
      <c r="L371" s="27">
        <v>207</v>
      </c>
      <c r="M371" s="27">
        <v>248</v>
      </c>
      <c r="N371" s="27">
        <v>55</v>
      </c>
      <c r="O371" s="28">
        <v>1047</v>
      </c>
      <c r="P371" s="29">
        <v>282697</v>
      </c>
      <c r="Q371" s="30">
        <v>598591</v>
      </c>
      <c r="R371" s="30">
        <v>643164</v>
      </c>
      <c r="S371" s="30">
        <v>620273</v>
      </c>
      <c r="T371" s="30">
        <v>579344</v>
      </c>
      <c r="U371" s="30">
        <v>627996</v>
      </c>
      <c r="V371" s="30">
        <v>619460</v>
      </c>
      <c r="W371" s="30">
        <v>469006</v>
      </c>
      <c r="X371" s="30">
        <v>214066</v>
      </c>
      <c r="Y371" s="30">
        <v>80484</v>
      </c>
      <c r="Z371" s="31">
        <v>4735081</v>
      </c>
      <c r="AA371" s="32">
        <f t="shared" si="26"/>
        <v>3.714224063219631E-4</v>
      </c>
      <c r="AB371" s="32">
        <f t="shared" si="26"/>
        <v>7.1835360037153918E-5</v>
      </c>
      <c r="AC371" s="32">
        <f t="shared" si="26"/>
        <v>7.9295482956135606E-5</v>
      </c>
      <c r="AD371" s="32">
        <f t="shared" si="26"/>
        <v>1.0640476048449635E-4</v>
      </c>
      <c r="AE371" s="32">
        <f t="shared" si="26"/>
        <v>1.1219586290701207E-4</v>
      </c>
      <c r="AF371" s="32">
        <f t="shared" si="25"/>
        <v>7.8025974687736865E-5</v>
      </c>
      <c r="AG371" s="32">
        <f t="shared" si="25"/>
        <v>8.8787008039260002E-5</v>
      </c>
      <c r="AH371" s="32">
        <f t="shared" si="25"/>
        <v>2.1961339513780208E-4</v>
      </c>
      <c r="AI371" s="32">
        <f t="shared" si="25"/>
        <v>9.6699148860631768E-4</v>
      </c>
      <c r="AJ371" s="32">
        <f t="shared" si="25"/>
        <v>3.08135778539834E-3</v>
      </c>
      <c r="AK371" s="33">
        <f t="shared" si="24"/>
        <v>2.2111554163487383E-4</v>
      </c>
    </row>
    <row r="372" spans="1:37" x14ac:dyDescent="0.3">
      <c r="A372" t="s">
        <v>80</v>
      </c>
      <c r="B372" s="1">
        <v>2009</v>
      </c>
      <c r="C372" s="1" t="str">
        <f t="shared" si="23"/>
        <v>South Dakota, 2009</v>
      </c>
      <c r="D372" s="27">
        <v>104</v>
      </c>
      <c r="E372" s="27">
        <v>67</v>
      </c>
      <c r="F372" s="27">
        <v>54</v>
      </c>
      <c r="G372" s="27">
        <v>70</v>
      </c>
      <c r="H372" s="27">
        <v>56</v>
      </c>
      <c r="I372" s="27">
        <v>55</v>
      </c>
      <c r="J372" s="27">
        <v>62</v>
      </c>
      <c r="K372" s="27">
        <v>39</v>
      </c>
      <c r="L372" s="27">
        <v>44</v>
      </c>
      <c r="M372" s="27">
        <v>70</v>
      </c>
      <c r="N372" s="27">
        <v>66</v>
      </c>
      <c r="O372" s="28">
        <v>687</v>
      </c>
      <c r="P372" s="29">
        <v>55525.162000000011</v>
      </c>
      <c r="Q372" s="30">
        <v>104202.947</v>
      </c>
      <c r="R372" s="30">
        <v>119497.20700000004</v>
      </c>
      <c r="S372" s="30">
        <v>96951.753999999986</v>
      </c>
      <c r="T372" s="30">
        <v>96791.543999999994</v>
      </c>
      <c r="U372" s="30">
        <v>114736.485</v>
      </c>
      <c r="V372" s="30">
        <v>86550.713999999964</v>
      </c>
      <c r="W372" s="30">
        <v>53423.368999999999</v>
      </c>
      <c r="X372" s="30">
        <v>40950.546999999999</v>
      </c>
      <c r="Y372" s="30">
        <v>18533.295000000002</v>
      </c>
      <c r="Z372" s="31">
        <v>786961</v>
      </c>
      <c r="AA372" s="32">
        <f t="shared" si="26"/>
        <v>1.8730247018459844E-3</v>
      </c>
      <c r="AB372" s="32">
        <f t="shared" si="26"/>
        <v>6.4297605709750225E-4</v>
      </c>
      <c r="AC372" s="32">
        <f t="shared" si="26"/>
        <v>4.5189340701494375E-4</v>
      </c>
      <c r="AD372" s="32">
        <f t="shared" si="26"/>
        <v>7.2200859821473686E-4</v>
      </c>
      <c r="AE372" s="32">
        <f t="shared" si="26"/>
        <v>5.7856293727476856E-4</v>
      </c>
      <c r="AF372" s="32">
        <f t="shared" si="25"/>
        <v>4.7935929011595568E-4</v>
      </c>
      <c r="AG372" s="32">
        <f t="shared" si="25"/>
        <v>7.1634302173405556E-4</v>
      </c>
      <c r="AH372" s="32">
        <f t="shared" si="25"/>
        <v>7.3001760708876296E-4</v>
      </c>
      <c r="AI372" s="32">
        <f t="shared" si="25"/>
        <v>1.0744667220196106E-3</v>
      </c>
      <c r="AJ372" s="32">
        <f t="shared" si="25"/>
        <v>3.7769862293779918E-3</v>
      </c>
      <c r="AK372" s="33">
        <f t="shared" si="24"/>
        <v>8.7297845763640127E-4</v>
      </c>
    </row>
    <row r="373" spans="1:37" x14ac:dyDescent="0.3">
      <c r="A373" t="s">
        <v>80</v>
      </c>
      <c r="B373" s="1">
        <v>2010</v>
      </c>
      <c r="C373" s="1" t="str">
        <f t="shared" si="23"/>
        <v>South Dakota, 2010</v>
      </c>
      <c r="D373" s="27">
        <v>105</v>
      </c>
      <c r="E373" s="27">
        <v>60</v>
      </c>
      <c r="F373" s="27">
        <v>53</v>
      </c>
      <c r="G373" s="27">
        <v>64</v>
      </c>
      <c r="H373" s="27">
        <v>55</v>
      </c>
      <c r="I373" s="27">
        <v>68</v>
      </c>
      <c r="J373" s="27">
        <v>57</v>
      </c>
      <c r="K373" s="27">
        <v>33</v>
      </c>
      <c r="L373" s="27">
        <v>50</v>
      </c>
      <c r="M373" s="27">
        <v>84</v>
      </c>
      <c r="N373" s="27">
        <v>44</v>
      </c>
      <c r="O373" s="28">
        <v>673</v>
      </c>
      <c r="P373" s="29">
        <v>50019.066000000006</v>
      </c>
      <c r="Q373" s="30">
        <v>95340.474000000017</v>
      </c>
      <c r="R373" s="30">
        <v>101994.538</v>
      </c>
      <c r="S373" s="30">
        <v>88496.916000000012</v>
      </c>
      <c r="T373" s="30">
        <v>85348.977000000014</v>
      </c>
      <c r="U373" s="30">
        <v>101632.80899999999</v>
      </c>
      <c r="V373" s="30">
        <v>77539.628000000012</v>
      </c>
      <c r="W373" s="30">
        <v>46481.829999999987</v>
      </c>
      <c r="X373" s="30">
        <v>33657.398000000001</v>
      </c>
      <c r="Y373" s="30">
        <v>15576.822999999999</v>
      </c>
      <c r="Z373" s="31">
        <v>696391</v>
      </c>
      <c r="AA373" s="32">
        <f t="shared" si="26"/>
        <v>2.0991995332339869E-3</v>
      </c>
      <c r="AB373" s="32">
        <f t="shared" si="26"/>
        <v>6.2932349172084025E-4</v>
      </c>
      <c r="AC373" s="32">
        <f t="shared" si="26"/>
        <v>5.1963566911788941E-4</v>
      </c>
      <c r="AD373" s="32">
        <f t="shared" si="26"/>
        <v>7.2318904310744562E-4</v>
      </c>
      <c r="AE373" s="32">
        <f t="shared" si="26"/>
        <v>6.4441311346942086E-4</v>
      </c>
      <c r="AF373" s="32">
        <f t="shared" si="25"/>
        <v>6.6907527863369401E-4</v>
      </c>
      <c r="AG373" s="32">
        <f t="shared" si="25"/>
        <v>7.3510798891116675E-4</v>
      </c>
      <c r="AH373" s="32">
        <f t="shared" si="25"/>
        <v>7.0995483611553179E-4</v>
      </c>
      <c r="AI373" s="32">
        <f t="shared" si="25"/>
        <v>1.4855574991269379E-3</v>
      </c>
      <c r="AJ373" s="32">
        <f t="shared" si="25"/>
        <v>5.3926272385582093E-3</v>
      </c>
      <c r="AK373" s="33">
        <f t="shared" si="24"/>
        <v>9.664111109994242E-4</v>
      </c>
    </row>
    <row r="374" spans="1:37" x14ac:dyDescent="0.3">
      <c r="A374" t="s">
        <v>80</v>
      </c>
      <c r="B374" s="1">
        <v>2011</v>
      </c>
      <c r="C374" s="1" t="str">
        <f t="shared" si="23"/>
        <v>South Dakota, 2011</v>
      </c>
      <c r="D374" s="27">
        <v>107</v>
      </c>
      <c r="E374" s="27">
        <v>50</v>
      </c>
      <c r="F374" s="27">
        <v>53</v>
      </c>
      <c r="G374" s="27">
        <v>62</v>
      </c>
      <c r="H374" s="27">
        <v>46</v>
      </c>
      <c r="I374" s="27">
        <v>51</v>
      </c>
      <c r="J374" s="27">
        <v>48</v>
      </c>
      <c r="K374" s="27">
        <v>57</v>
      </c>
      <c r="L374" s="27">
        <v>55</v>
      </c>
      <c r="M374" s="27">
        <v>88</v>
      </c>
      <c r="N374" s="27">
        <v>42</v>
      </c>
      <c r="O374" s="28">
        <v>659</v>
      </c>
      <c r="P374" s="29">
        <v>54880.032999999989</v>
      </c>
      <c r="Q374" s="30">
        <v>104599.753</v>
      </c>
      <c r="R374" s="30">
        <v>107703.55599999997</v>
      </c>
      <c r="S374" s="30">
        <v>97177.745999999999</v>
      </c>
      <c r="T374" s="30">
        <v>92757.61500000002</v>
      </c>
      <c r="U374" s="30">
        <v>111377.68800000001</v>
      </c>
      <c r="V374" s="30">
        <v>89645.965999999986</v>
      </c>
      <c r="W374" s="30">
        <v>53379.294999999998</v>
      </c>
      <c r="X374" s="30">
        <v>36319.936000000002</v>
      </c>
      <c r="Y374" s="30">
        <v>16604.909</v>
      </c>
      <c r="Z374" s="31">
        <v>764433</v>
      </c>
      <c r="AA374" s="32">
        <f t="shared" si="26"/>
        <v>1.9497072824282017E-3</v>
      </c>
      <c r="AB374" s="32">
        <f t="shared" si="26"/>
        <v>4.7801260104314016E-4</v>
      </c>
      <c r="AC374" s="32">
        <f t="shared" si="26"/>
        <v>4.9209145889296372E-4</v>
      </c>
      <c r="AD374" s="32">
        <f t="shared" si="26"/>
        <v>6.3800615420736345E-4</v>
      </c>
      <c r="AE374" s="32">
        <f t="shared" si="26"/>
        <v>4.9591615739581047E-4</v>
      </c>
      <c r="AF374" s="32">
        <f t="shared" si="25"/>
        <v>4.5790140660847614E-4</v>
      </c>
      <c r="AG374" s="32">
        <f t="shared" si="25"/>
        <v>5.3543959802943063E-4</v>
      </c>
      <c r="AH374" s="32">
        <f t="shared" si="25"/>
        <v>1.0678297643309078E-3</v>
      </c>
      <c r="AI374" s="32">
        <f t="shared" si="25"/>
        <v>1.5143198490217603E-3</v>
      </c>
      <c r="AJ374" s="32">
        <f t="shared" si="25"/>
        <v>5.2996375951232253E-3</v>
      </c>
      <c r="AK374" s="33">
        <f t="shared" si="24"/>
        <v>8.6207685958089196E-4</v>
      </c>
    </row>
    <row r="375" spans="1:37" x14ac:dyDescent="0.3">
      <c r="A375" t="s">
        <v>80</v>
      </c>
      <c r="B375" s="1">
        <v>2012</v>
      </c>
      <c r="C375" s="1" t="str">
        <f t="shared" si="23"/>
        <v>South Dakota, 2012</v>
      </c>
      <c r="D375" s="27">
        <v>111</v>
      </c>
      <c r="E375" s="27">
        <v>59</v>
      </c>
      <c r="F375" s="27">
        <v>45</v>
      </c>
      <c r="G375" s="27">
        <v>51</v>
      </c>
      <c r="H375" s="27">
        <v>48</v>
      </c>
      <c r="I375" s="27">
        <v>55</v>
      </c>
      <c r="J375" s="27">
        <v>43</v>
      </c>
      <c r="K375" s="27">
        <v>39</v>
      </c>
      <c r="L375" s="27">
        <v>38</v>
      </c>
      <c r="M375" s="27">
        <v>98</v>
      </c>
      <c r="N375" s="27">
        <v>60</v>
      </c>
      <c r="O375" s="28">
        <v>647</v>
      </c>
      <c r="P375" s="29">
        <v>51166.201000000015</v>
      </c>
      <c r="Q375" s="30">
        <v>95826.548999999999</v>
      </c>
      <c r="R375" s="30">
        <v>104182.65600000002</v>
      </c>
      <c r="S375" s="30">
        <v>94333.239999999991</v>
      </c>
      <c r="T375" s="30">
        <v>84156.209999999992</v>
      </c>
      <c r="U375" s="30">
        <v>104373.447</v>
      </c>
      <c r="V375" s="30">
        <v>89764.626000000018</v>
      </c>
      <c r="W375" s="30">
        <v>52783.629000000001</v>
      </c>
      <c r="X375" s="30">
        <v>35948.544000000009</v>
      </c>
      <c r="Y375" s="30">
        <v>17260.596000000001</v>
      </c>
      <c r="Z375" s="31">
        <v>729597</v>
      </c>
      <c r="AA375" s="32">
        <f t="shared" si="26"/>
        <v>2.1694008511595371E-3</v>
      </c>
      <c r="AB375" s="32">
        <f t="shared" si="26"/>
        <v>6.1569576088981359E-4</v>
      </c>
      <c r="AC375" s="32">
        <f t="shared" si="26"/>
        <v>4.3193369921381148E-4</v>
      </c>
      <c r="AD375" s="32">
        <f t="shared" si="26"/>
        <v>5.4063657730827447E-4</v>
      </c>
      <c r="AE375" s="32">
        <f t="shared" si="26"/>
        <v>5.7036789085440046E-4</v>
      </c>
      <c r="AF375" s="32">
        <f t="shared" si="25"/>
        <v>5.2695394835431655E-4</v>
      </c>
      <c r="AG375" s="32">
        <f t="shared" si="25"/>
        <v>4.7903057046101867E-4</v>
      </c>
      <c r="AH375" s="32">
        <f t="shared" si="25"/>
        <v>7.3886545390806685E-4</v>
      </c>
      <c r="AI375" s="32">
        <f t="shared" si="25"/>
        <v>1.057066455876488E-3</v>
      </c>
      <c r="AJ375" s="32">
        <f t="shared" si="25"/>
        <v>5.6776718486430009E-3</v>
      </c>
      <c r="AK375" s="33">
        <f t="shared" si="24"/>
        <v>8.8679092704602679E-4</v>
      </c>
    </row>
    <row r="376" spans="1:37" x14ac:dyDescent="0.3">
      <c r="A376" t="s">
        <v>80</v>
      </c>
      <c r="B376" s="1">
        <v>2013</v>
      </c>
      <c r="C376" s="1" t="str">
        <f t="shared" si="23"/>
        <v>South Dakota, 2013</v>
      </c>
      <c r="D376" s="27">
        <v>110</v>
      </c>
      <c r="E376" s="27">
        <v>66</v>
      </c>
      <c r="F376" s="27">
        <v>55</v>
      </c>
      <c r="G376" s="27">
        <v>50</v>
      </c>
      <c r="H376" s="27">
        <v>20</v>
      </c>
      <c r="I376" s="27">
        <v>60</v>
      </c>
      <c r="J376" s="27">
        <v>44</v>
      </c>
      <c r="K376" s="27">
        <v>59</v>
      </c>
      <c r="L376" s="27">
        <v>36</v>
      </c>
      <c r="M376" s="27">
        <v>94</v>
      </c>
      <c r="N376" s="27">
        <v>74</v>
      </c>
      <c r="O376" s="28">
        <v>668</v>
      </c>
      <c r="P376" s="29">
        <v>46897.119000000006</v>
      </c>
      <c r="Q376" s="30">
        <v>90847.309999999983</v>
      </c>
      <c r="R376" s="30">
        <v>91122.968999999983</v>
      </c>
      <c r="S376" s="30">
        <v>87366.93799999998</v>
      </c>
      <c r="T376" s="30">
        <v>79623.452999999994</v>
      </c>
      <c r="U376" s="30">
        <v>93843.782999999996</v>
      </c>
      <c r="V376" s="30">
        <v>86140.731</v>
      </c>
      <c r="W376" s="30">
        <v>52588.77199999999</v>
      </c>
      <c r="X376" s="30">
        <v>33111.106999999996</v>
      </c>
      <c r="Y376" s="30">
        <v>15173.513999999997</v>
      </c>
      <c r="Z376" s="31">
        <v>676485</v>
      </c>
      <c r="AA376" s="32">
        <f t="shared" si="26"/>
        <v>2.345559862643161E-3</v>
      </c>
      <c r="AB376" s="32">
        <f t="shared" si="26"/>
        <v>7.2649371786572448E-4</v>
      </c>
      <c r="AC376" s="32">
        <f t="shared" si="26"/>
        <v>6.0357998212283903E-4</v>
      </c>
      <c r="AD376" s="32">
        <f t="shared" si="26"/>
        <v>5.7229887122746609E-4</v>
      </c>
      <c r="AE376" s="32">
        <f t="shared" si="26"/>
        <v>2.5118227414729175E-4</v>
      </c>
      <c r="AF376" s="32">
        <f t="shared" si="25"/>
        <v>6.3936041453060348E-4</v>
      </c>
      <c r="AG376" s="32">
        <f t="shared" si="25"/>
        <v>5.1079204331340076E-4</v>
      </c>
      <c r="AH376" s="32">
        <f t="shared" si="25"/>
        <v>1.1219124873271429E-3</v>
      </c>
      <c r="AI376" s="32">
        <f t="shared" si="25"/>
        <v>1.087248457141587E-3</v>
      </c>
      <c r="AJ376" s="32">
        <f t="shared" si="25"/>
        <v>6.1950053230912768E-3</v>
      </c>
      <c r="AK376" s="33">
        <f t="shared" si="24"/>
        <v>9.8745722373740725E-4</v>
      </c>
    </row>
    <row r="377" spans="1:37" x14ac:dyDescent="0.3">
      <c r="A377" t="s">
        <v>80</v>
      </c>
      <c r="B377" s="1">
        <v>2014</v>
      </c>
      <c r="C377" s="1" t="str">
        <f t="shared" si="23"/>
        <v>South Dakota, 2014</v>
      </c>
      <c r="D377" s="27">
        <v>104</v>
      </c>
      <c r="E377" s="27">
        <v>47</v>
      </c>
      <c r="F377" s="27">
        <v>55</v>
      </c>
      <c r="G377" s="27">
        <v>84</v>
      </c>
      <c r="H377" s="27">
        <v>52</v>
      </c>
      <c r="I377" s="27">
        <v>55</v>
      </c>
      <c r="J377" s="27">
        <v>42</v>
      </c>
      <c r="K377" s="27">
        <v>51</v>
      </c>
      <c r="L377" s="27">
        <v>62</v>
      </c>
      <c r="M377" s="27">
        <v>97</v>
      </c>
      <c r="N377" s="27">
        <v>68</v>
      </c>
      <c r="O377" s="28">
        <v>717</v>
      </c>
      <c r="P377" s="29">
        <v>41035.701999999997</v>
      </c>
      <c r="Q377" s="30">
        <v>79778.675000000017</v>
      </c>
      <c r="R377" s="30">
        <v>81173.613999999987</v>
      </c>
      <c r="S377" s="30">
        <v>78391.021000000022</v>
      </c>
      <c r="T377" s="30">
        <v>69563.122999999978</v>
      </c>
      <c r="U377" s="30">
        <v>82105.051999999996</v>
      </c>
      <c r="V377" s="30">
        <v>75104.319000000018</v>
      </c>
      <c r="W377" s="30">
        <v>45610.090000000004</v>
      </c>
      <c r="X377" s="30">
        <v>28620.80999999999</v>
      </c>
      <c r="Y377" s="30">
        <v>14066.210000000005</v>
      </c>
      <c r="Z377" s="31">
        <v>595556</v>
      </c>
      <c r="AA377" s="32">
        <f t="shared" si="26"/>
        <v>2.5343784785258456E-3</v>
      </c>
      <c r="AB377" s="32">
        <f t="shared" si="26"/>
        <v>5.8912986459100738E-4</v>
      </c>
      <c r="AC377" s="32">
        <f t="shared" si="26"/>
        <v>6.7756007512490457E-4</v>
      </c>
      <c r="AD377" s="32">
        <f t="shared" si="26"/>
        <v>1.0715512941207894E-3</v>
      </c>
      <c r="AE377" s="32">
        <f t="shared" si="26"/>
        <v>7.4752250556663503E-4</v>
      </c>
      <c r="AF377" s="32">
        <f t="shared" si="25"/>
        <v>6.6987351764907234E-4</v>
      </c>
      <c r="AG377" s="32">
        <f t="shared" si="25"/>
        <v>5.5922216670388806E-4</v>
      </c>
      <c r="AH377" s="32">
        <f t="shared" si="25"/>
        <v>1.1181736321941042E-3</v>
      </c>
      <c r="AI377" s="32">
        <f t="shared" si="25"/>
        <v>2.1662559515261805E-3</v>
      </c>
      <c r="AJ377" s="32">
        <f t="shared" si="25"/>
        <v>6.8959584706896858E-3</v>
      </c>
      <c r="AK377" s="33">
        <f t="shared" si="24"/>
        <v>1.2039170120022298E-3</v>
      </c>
    </row>
    <row r="378" spans="1:37" x14ac:dyDescent="0.3">
      <c r="A378" t="s">
        <v>80</v>
      </c>
      <c r="B378" s="1">
        <v>2015</v>
      </c>
      <c r="C378" s="1" t="str">
        <f t="shared" si="23"/>
        <v>South Dakota, 2015</v>
      </c>
      <c r="D378" s="27">
        <v>84</v>
      </c>
      <c r="E378" s="27">
        <v>42</v>
      </c>
      <c r="F378" s="27">
        <v>52</v>
      </c>
      <c r="G378" s="27">
        <v>77</v>
      </c>
      <c r="H378" s="27">
        <v>37</v>
      </c>
      <c r="I378" s="27">
        <v>54</v>
      </c>
      <c r="J378" s="27">
        <v>60</v>
      </c>
      <c r="K378" s="27">
        <v>35</v>
      </c>
      <c r="L378" s="27">
        <v>44</v>
      </c>
      <c r="M378" s="27">
        <v>107</v>
      </c>
      <c r="N378" s="27">
        <v>48</v>
      </c>
      <c r="O378" s="28">
        <v>640</v>
      </c>
      <c r="P378" s="29">
        <v>39312.10500000001</v>
      </c>
      <c r="Q378" s="30">
        <v>76681.03800000003</v>
      </c>
      <c r="R378" s="30">
        <v>81789.925999999978</v>
      </c>
      <c r="S378" s="30">
        <v>72424.980999999985</v>
      </c>
      <c r="T378" s="30">
        <v>64205.625000000007</v>
      </c>
      <c r="U378" s="30">
        <v>72252.684999999983</v>
      </c>
      <c r="V378" s="30">
        <v>73062.726999999999</v>
      </c>
      <c r="W378" s="30">
        <v>45015.929000000011</v>
      </c>
      <c r="X378" s="30">
        <v>28282.841</v>
      </c>
      <c r="Y378" s="30">
        <v>13169.781000000001</v>
      </c>
      <c r="Z378" s="31">
        <v>566173</v>
      </c>
      <c r="AA378" s="32">
        <f t="shared" si="26"/>
        <v>2.1367464296302621E-3</v>
      </c>
      <c r="AB378" s="32">
        <f t="shared" si="26"/>
        <v>5.4772341501167451E-4</v>
      </c>
      <c r="AC378" s="32">
        <f t="shared" si="26"/>
        <v>6.3577511978675733E-4</v>
      </c>
      <c r="AD378" s="32">
        <f t="shared" si="26"/>
        <v>1.063169074217638E-3</v>
      </c>
      <c r="AE378" s="32">
        <f t="shared" si="26"/>
        <v>5.7627349628634555E-4</v>
      </c>
      <c r="AF378" s="32">
        <f t="shared" si="25"/>
        <v>7.4737706979332338E-4</v>
      </c>
      <c r="AG378" s="32">
        <f t="shared" si="25"/>
        <v>8.2121216198240176E-4</v>
      </c>
      <c r="AH378" s="32">
        <f t="shared" si="25"/>
        <v>7.775025591496733E-4</v>
      </c>
      <c r="AI378" s="32">
        <f t="shared" si="25"/>
        <v>1.555713586198784E-3</v>
      </c>
      <c r="AJ378" s="32">
        <f t="shared" si="25"/>
        <v>8.1246605391539911E-3</v>
      </c>
      <c r="AK378" s="33">
        <f t="shared" si="24"/>
        <v>1.1303965395735931E-3</v>
      </c>
    </row>
    <row r="379" spans="1:37" x14ac:dyDescent="0.3">
      <c r="A379" t="s">
        <v>80</v>
      </c>
      <c r="B379" s="1">
        <v>2016</v>
      </c>
      <c r="C379" s="1" t="str">
        <f t="shared" si="23"/>
        <v>South Dakota, 2016</v>
      </c>
      <c r="D379" s="27">
        <v>119</v>
      </c>
      <c r="E379" s="27">
        <v>43</v>
      </c>
      <c r="F379" s="27">
        <v>51</v>
      </c>
      <c r="G379" s="27">
        <v>60</v>
      </c>
      <c r="H379" s="27">
        <v>52</v>
      </c>
      <c r="I379" s="27">
        <v>64</v>
      </c>
      <c r="J379" s="27">
        <v>43</v>
      </c>
      <c r="K379" s="27">
        <v>56</v>
      </c>
      <c r="L379" s="27">
        <v>61</v>
      </c>
      <c r="M379" s="27">
        <v>88</v>
      </c>
      <c r="N379" s="27">
        <v>73</v>
      </c>
      <c r="O379" s="28">
        <v>710</v>
      </c>
      <c r="P379" s="29">
        <v>50087.67</v>
      </c>
      <c r="Q379" s="30">
        <v>97294.784000000014</v>
      </c>
      <c r="R379" s="30">
        <v>99054.425999999963</v>
      </c>
      <c r="S379" s="30">
        <v>95438.794999999998</v>
      </c>
      <c r="T379" s="30">
        <v>83380.393999999971</v>
      </c>
      <c r="U379" s="30">
        <v>90862.898999999976</v>
      </c>
      <c r="V379" s="30">
        <v>93969.304999999993</v>
      </c>
      <c r="W379" s="30">
        <v>57508.780999999988</v>
      </c>
      <c r="X379" s="30">
        <v>32720.162000000008</v>
      </c>
      <c r="Y379" s="30">
        <v>16062.259999999998</v>
      </c>
      <c r="Z379" s="31">
        <v>716407</v>
      </c>
      <c r="AA379" s="32">
        <f t="shared" si="26"/>
        <v>2.3758342122921672E-3</v>
      </c>
      <c r="AB379" s="32">
        <f t="shared" si="26"/>
        <v>4.4195586065538719E-4</v>
      </c>
      <c r="AC379" s="32">
        <f t="shared" si="26"/>
        <v>5.1486846231383969E-4</v>
      </c>
      <c r="AD379" s="32">
        <f t="shared" si="26"/>
        <v>6.2867516296700944E-4</v>
      </c>
      <c r="AE379" s="32">
        <f t="shared" si="26"/>
        <v>6.2364780862033363E-4</v>
      </c>
      <c r="AF379" s="32">
        <f t="shared" si="25"/>
        <v>7.0435789199285856E-4</v>
      </c>
      <c r="AG379" s="32">
        <f t="shared" si="25"/>
        <v>4.5759623315294292E-4</v>
      </c>
      <c r="AH379" s="32">
        <f t="shared" si="25"/>
        <v>9.737643369627329E-4</v>
      </c>
      <c r="AI379" s="32">
        <f t="shared" si="25"/>
        <v>1.8642939481778845E-3</v>
      </c>
      <c r="AJ379" s="32">
        <f t="shared" si="25"/>
        <v>5.4786810822387393E-3</v>
      </c>
      <c r="AK379" s="33">
        <f t="shared" si="24"/>
        <v>9.9105675963523528E-4</v>
      </c>
    </row>
    <row r="380" spans="1:37" x14ac:dyDescent="0.3">
      <c r="A380" t="s">
        <v>80</v>
      </c>
      <c r="B380" s="1">
        <v>2017</v>
      </c>
      <c r="C380" s="1" t="str">
        <f t="shared" si="23"/>
        <v>South Dakota, 2017</v>
      </c>
      <c r="D380" s="27">
        <v>110</v>
      </c>
      <c r="E380" s="27">
        <v>65</v>
      </c>
      <c r="F380" s="27">
        <v>58</v>
      </c>
      <c r="G380" s="27">
        <v>42</v>
      </c>
      <c r="H380" s="27">
        <v>67</v>
      </c>
      <c r="I380" s="27">
        <v>55</v>
      </c>
      <c r="J380" s="27">
        <v>42</v>
      </c>
      <c r="K380" s="27">
        <v>45</v>
      </c>
      <c r="L380" s="27">
        <v>56</v>
      </c>
      <c r="M380" s="27">
        <v>96</v>
      </c>
      <c r="N380" s="27">
        <v>57</v>
      </c>
      <c r="O380" s="28">
        <v>693</v>
      </c>
      <c r="P380" s="29">
        <v>48466</v>
      </c>
      <c r="Q380" s="30">
        <v>98733</v>
      </c>
      <c r="R380" s="30">
        <v>94701</v>
      </c>
      <c r="S380" s="30">
        <v>97217</v>
      </c>
      <c r="T380" s="30">
        <v>86520</v>
      </c>
      <c r="U380" s="30">
        <v>88665</v>
      </c>
      <c r="V380" s="30">
        <v>94153</v>
      </c>
      <c r="W380" s="30">
        <v>62314</v>
      </c>
      <c r="X380" s="30">
        <v>32613</v>
      </c>
      <c r="Y380" s="30">
        <v>14954</v>
      </c>
      <c r="Z380" s="31">
        <v>718336</v>
      </c>
      <c r="AA380" s="32">
        <f t="shared" si="26"/>
        <v>2.2696323195642307E-3</v>
      </c>
      <c r="AB380" s="32">
        <f t="shared" si="26"/>
        <v>6.5834118278589732E-4</v>
      </c>
      <c r="AC380" s="32">
        <f t="shared" si="26"/>
        <v>6.1245393396057066E-4</v>
      </c>
      <c r="AD380" s="32">
        <f t="shared" si="26"/>
        <v>4.3202320581791248E-4</v>
      </c>
      <c r="AE380" s="32">
        <f t="shared" si="26"/>
        <v>7.743874248728618E-4</v>
      </c>
      <c r="AF380" s="32">
        <f t="shared" si="25"/>
        <v>6.2031241188744151E-4</v>
      </c>
      <c r="AG380" s="32">
        <f t="shared" si="25"/>
        <v>4.4608244028336856E-4</v>
      </c>
      <c r="AH380" s="32">
        <f t="shared" si="25"/>
        <v>7.2214911576852709E-4</v>
      </c>
      <c r="AI380" s="32">
        <f t="shared" si="25"/>
        <v>1.7171066752522E-3</v>
      </c>
      <c r="AJ380" s="32">
        <f t="shared" si="25"/>
        <v>6.4196870402567878E-3</v>
      </c>
      <c r="AK380" s="33">
        <f t="shared" si="24"/>
        <v>9.6472959729151822E-4</v>
      </c>
    </row>
    <row r="381" spans="1:37" x14ac:dyDescent="0.3">
      <c r="A381" t="s">
        <v>81</v>
      </c>
      <c r="B381" s="1">
        <v>2009</v>
      </c>
      <c r="C381" s="1" t="str">
        <f t="shared" si="23"/>
        <v>Tennessee, 2009</v>
      </c>
      <c r="D381" s="27">
        <v>93</v>
      </c>
      <c r="E381" s="27">
        <v>45</v>
      </c>
      <c r="F381" s="27">
        <v>46</v>
      </c>
      <c r="G381" s="27">
        <v>53</v>
      </c>
      <c r="H381" s="27">
        <v>43</v>
      </c>
      <c r="I381" s="27">
        <v>75</v>
      </c>
      <c r="J381" s="27">
        <v>132</v>
      </c>
      <c r="K381" s="27">
        <v>158</v>
      </c>
      <c r="L381" s="27">
        <v>378</v>
      </c>
      <c r="M381" s="27">
        <v>554</v>
      </c>
      <c r="N381" s="27">
        <v>59</v>
      </c>
      <c r="O381" s="28">
        <v>1636</v>
      </c>
      <c r="P381" s="29">
        <v>405972.66799999995</v>
      </c>
      <c r="Q381" s="30">
        <v>795174.43799999962</v>
      </c>
      <c r="R381" s="30">
        <v>815508.31900000002</v>
      </c>
      <c r="S381" s="30">
        <v>820092.1050000001</v>
      </c>
      <c r="T381" s="30">
        <v>861006.35999999987</v>
      </c>
      <c r="U381" s="30">
        <v>879131.15100000007</v>
      </c>
      <c r="V381" s="30">
        <v>696165.50699999987</v>
      </c>
      <c r="W381" s="30">
        <v>426953.42300000018</v>
      </c>
      <c r="X381" s="30">
        <v>262068.78400000001</v>
      </c>
      <c r="Y381" s="30">
        <v>94521.242999999973</v>
      </c>
      <c r="Z381" s="31">
        <v>6056214</v>
      </c>
      <c r="AA381" s="32">
        <f t="shared" si="26"/>
        <v>2.2907946108332596E-4</v>
      </c>
      <c r="AB381" s="32">
        <f t="shared" si="26"/>
        <v>5.659135637355589E-5</v>
      </c>
      <c r="AC381" s="32">
        <f t="shared" si="26"/>
        <v>5.6406536792177103E-5</v>
      </c>
      <c r="AD381" s="32">
        <f t="shared" si="26"/>
        <v>6.4626887244573575E-5</v>
      </c>
      <c r="AE381" s="32">
        <f t="shared" si="26"/>
        <v>4.9941559084418384E-5</v>
      </c>
      <c r="AF381" s="32">
        <f t="shared" si="25"/>
        <v>8.531150319800236E-5</v>
      </c>
      <c r="AG381" s="32">
        <f t="shared" si="25"/>
        <v>1.8961008362627772E-4</v>
      </c>
      <c r="AH381" s="32">
        <f t="shared" si="25"/>
        <v>3.7006378562281708E-4</v>
      </c>
      <c r="AI381" s="32">
        <f t="shared" si="25"/>
        <v>1.4423694200832403E-3</v>
      </c>
      <c r="AJ381" s="32">
        <f t="shared" si="25"/>
        <v>5.8611163206984083E-3</v>
      </c>
      <c r="AK381" s="33">
        <f t="shared" si="24"/>
        <v>2.7013576468731126E-4</v>
      </c>
    </row>
    <row r="382" spans="1:37" x14ac:dyDescent="0.3">
      <c r="A382" t="s">
        <v>81</v>
      </c>
      <c r="B382" s="1">
        <v>2010</v>
      </c>
      <c r="C382" s="1" t="str">
        <f t="shared" si="23"/>
        <v>Tennessee, 2010</v>
      </c>
      <c r="D382" s="27">
        <v>116</v>
      </c>
      <c r="E382" s="27">
        <v>47</v>
      </c>
      <c r="F382" s="27">
        <v>55</v>
      </c>
      <c r="G382" s="27">
        <v>56</v>
      </c>
      <c r="H382" s="27">
        <v>62</v>
      </c>
      <c r="I382" s="27">
        <v>59</v>
      </c>
      <c r="J382" s="27">
        <v>127</v>
      </c>
      <c r="K382" s="27">
        <v>209</v>
      </c>
      <c r="L382" s="27">
        <v>373</v>
      </c>
      <c r="M382" s="27">
        <v>535</v>
      </c>
      <c r="N382" s="27">
        <v>54</v>
      </c>
      <c r="O382" s="28">
        <v>1693</v>
      </c>
      <c r="P382" s="29">
        <v>397044.69699999993</v>
      </c>
      <c r="Q382" s="30">
        <v>811655.88699999976</v>
      </c>
      <c r="R382" s="30">
        <v>836702.6050000001</v>
      </c>
      <c r="S382" s="30">
        <v>806928.34199999983</v>
      </c>
      <c r="T382" s="30">
        <v>858752.0059999997</v>
      </c>
      <c r="U382" s="30">
        <v>895257.49500000034</v>
      </c>
      <c r="V382" s="30">
        <v>730104.32700000028</v>
      </c>
      <c r="W382" s="30">
        <v>449286.69299999991</v>
      </c>
      <c r="X382" s="30">
        <v>258469.45800000004</v>
      </c>
      <c r="Y382" s="30">
        <v>92993.182000000015</v>
      </c>
      <c r="Z382" s="31">
        <v>6136827</v>
      </c>
      <c r="AA382" s="32">
        <f t="shared" si="26"/>
        <v>2.921585425431334E-4</v>
      </c>
      <c r="AB382" s="32">
        <f t="shared" si="26"/>
        <v>5.7906313196001019E-5</v>
      </c>
      <c r="AC382" s="32">
        <f t="shared" si="26"/>
        <v>6.5734228232742253E-5</v>
      </c>
      <c r="AD382" s="32">
        <f t="shared" si="26"/>
        <v>6.9398975206648537E-5</v>
      </c>
      <c r="AE382" s="32">
        <f t="shared" si="26"/>
        <v>7.2197793503611356E-5</v>
      </c>
      <c r="AF382" s="32">
        <f t="shared" si="25"/>
        <v>6.5902827208388776E-5</v>
      </c>
      <c r="AG382" s="32">
        <f t="shared" si="25"/>
        <v>1.7394774322437341E-4</v>
      </c>
      <c r="AH382" s="32">
        <f t="shared" si="25"/>
        <v>4.6518181654670114E-4</v>
      </c>
      <c r="AI382" s="32">
        <f t="shared" si="25"/>
        <v>1.4431105434515204E-3</v>
      </c>
      <c r="AJ382" s="32">
        <f t="shared" si="25"/>
        <v>5.7531099430493723E-3</v>
      </c>
      <c r="AK382" s="33">
        <f t="shared" si="24"/>
        <v>2.7587546463343353E-4</v>
      </c>
    </row>
    <row r="383" spans="1:37" x14ac:dyDescent="0.3">
      <c r="A383" t="s">
        <v>81</v>
      </c>
      <c r="B383" s="1">
        <v>2011</v>
      </c>
      <c r="C383" s="1" t="str">
        <f t="shared" si="23"/>
        <v>Tennessee, 2011</v>
      </c>
      <c r="D383" s="27">
        <v>104</v>
      </c>
      <c r="E383" s="27">
        <v>53</v>
      </c>
      <c r="F383" s="27">
        <v>62</v>
      </c>
      <c r="G383" s="27">
        <v>43</v>
      </c>
      <c r="H383" s="27">
        <v>72</v>
      </c>
      <c r="I383" s="27">
        <v>76</v>
      </c>
      <c r="J383" s="27">
        <v>107</v>
      </c>
      <c r="K383" s="27">
        <v>236</v>
      </c>
      <c r="L383" s="27">
        <v>406</v>
      </c>
      <c r="M383" s="27">
        <v>550</v>
      </c>
      <c r="N383" s="27">
        <v>74</v>
      </c>
      <c r="O383" s="28">
        <v>1783</v>
      </c>
      <c r="P383" s="29">
        <v>400819.9870000002</v>
      </c>
      <c r="Q383" s="30">
        <v>818020.85099999967</v>
      </c>
      <c r="R383" s="30">
        <v>849843.26699999988</v>
      </c>
      <c r="S383" s="30">
        <v>813914.03399999987</v>
      </c>
      <c r="T383" s="30">
        <v>854584.86400000006</v>
      </c>
      <c r="U383" s="30">
        <v>904070.88200000033</v>
      </c>
      <c r="V383" s="30">
        <v>755016.24300000013</v>
      </c>
      <c r="W383" s="30">
        <v>465850.63900000014</v>
      </c>
      <c r="X383" s="30">
        <v>262831.14600000007</v>
      </c>
      <c r="Y383" s="30">
        <v>97180.055999999982</v>
      </c>
      <c r="Z383" s="31">
        <v>6222980</v>
      </c>
      <c r="AA383" s="32">
        <f t="shared" si="26"/>
        <v>2.5946809883011136E-4</v>
      </c>
      <c r="AB383" s="32">
        <f t="shared" si="26"/>
        <v>6.4790524514392878E-5</v>
      </c>
      <c r="AC383" s="32">
        <f t="shared" si="26"/>
        <v>7.2954628703318308E-5</v>
      </c>
      <c r="AD383" s="32">
        <f t="shared" si="26"/>
        <v>5.2831132286385916E-5</v>
      </c>
      <c r="AE383" s="32">
        <f t="shared" si="26"/>
        <v>8.4251433687924525E-5</v>
      </c>
      <c r="AF383" s="32">
        <f t="shared" si="25"/>
        <v>8.4064205045373828E-5</v>
      </c>
      <c r="AG383" s="32">
        <f t="shared" si="25"/>
        <v>1.417188053793963E-4</v>
      </c>
      <c r="AH383" s="32">
        <f t="shared" si="25"/>
        <v>5.0660014228294298E-4</v>
      </c>
      <c r="AI383" s="32">
        <f t="shared" si="25"/>
        <v>1.5447179916797224E-3</v>
      </c>
      <c r="AJ383" s="32">
        <f t="shared" si="25"/>
        <v>5.6595974795486852E-3</v>
      </c>
      <c r="AK383" s="33">
        <f t="shared" si="24"/>
        <v>2.8651867754677019E-4</v>
      </c>
    </row>
    <row r="384" spans="1:37" x14ac:dyDescent="0.3">
      <c r="A384" t="s">
        <v>81</v>
      </c>
      <c r="B384" s="1">
        <v>2012</v>
      </c>
      <c r="C384" s="1" t="str">
        <f t="shared" si="23"/>
        <v>Tennessee, 2012</v>
      </c>
      <c r="D384" s="27">
        <v>107</v>
      </c>
      <c r="E384" s="27">
        <v>42</v>
      </c>
      <c r="F384" s="27">
        <v>53</v>
      </c>
      <c r="G384" s="27">
        <v>59</v>
      </c>
      <c r="H384" s="27">
        <v>49</v>
      </c>
      <c r="I384" s="27">
        <v>30</v>
      </c>
      <c r="J384" s="27">
        <v>109</v>
      </c>
      <c r="K384" s="27">
        <v>212</v>
      </c>
      <c r="L384" s="27">
        <v>355</v>
      </c>
      <c r="M384" s="27">
        <v>630</v>
      </c>
      <c r="N384" s="27">
        <v>57</v>
      </c>
      <c r="O384" s="28">
        <v>1703</v>
      </c>
      <c r="P384" s="29">
        <v>393832.43599999987</v>
      </c>
      <c r="Q384" s="30">
        <v>806277.8879999998</v>
      </c>
      <c r="R384" s="30">
        <v>841537.12699999963</v>
      </c>
      <c r="S384" s="30">
        <v>803441.41199999989</v>
      </c>
      <c r="T384" s="30">
        <v>830585.63800000004</v>
      </c>
      <c r="U384" s="30">
        <v>886018.49600000028</v>
      </c>
      <c r="V384" s="30">
        <v>758724.44100000011</v>
      </c>
      <c r="W384" s="30">
        <v>471763.97499999992</v>
      </c>
      <c r="X384" s="30">
        <v>258053.55799999996</v>
      </c>
      <c r="Y384" s="30">
        <v>95387.496999999988</v>
      </c>
      <c r="Z384" s="31">
        <v>6143729</v>
      </c>
      <c r="AA384" s="32">
        <f t="shared" si="26"/>
        <v>2.7168915056046842E-4</v>
      </c>
      <c r="AB384" s="32">
        <f t="shared" si="26"/>
        <v>5.209122143257885E-5</v>
      </c>
      <c r="AC384" s="32">
        <f t="shared" si="26"/>
        <v>6.2979990186457955E-5</v>
      </c>
      <c r="AD384" s="32">
        <f t="shared" si="26"/>
        <v>7.3434103742713234E-5</v>
      </c>
      <c r="AE384" s="32">
        <f t="shared" si="26"/>
        <v>5.8994518756655889E-5</v>
      </c>
      <c r="AF384" s="32">
        <f t="shared" si="25"/>
        <v>3.385933830437778E-5</v>
      </c>
      <c r="AG384" s="32">
        <f t="shared" si="25"/>
        <v>1.4366217049280476E-4</v>
      </c>
      <c r="AH384" s="32">
        <f t="shared" si="25"/>
        <v>4.4937725480204382E-4</v>
      </c>
      <c r="AI384" s="32">
        <f t="shared" si="25"/>
        <v>1.3756834153009433E-3</v>
      </c>
      <c r="AJ384" s="32">
        <f t="shared" si="25"/>
        <v>6.6046391803319887E-3</v>
      </c>
      <c r="AK384" s="33">
        <f t="shared" si="24"/>
        <v>2.7719321604191853E-4</v>
      </c>
    </row>
    <row r="385" spans="1:37" x14ac:dyDescent="0.3">
      <c r="A385" t="s">
        <v>81</v>
      </c>
      <c r="B385" s="1">
        <v>2013</v>
      </c>
      <c r="C385" s="1" t="str">
        <f t="shared" si="23"/>
        <v>Tennessee, 2013</v>
      </c>
      <c r="D385" s="27">
        <v>88</v>
      </c>
      <c r="E385" s="27">
        <v>33</v>
      </c>
      <c r="F385" s="27">
        <v>61</v>
      </c>
      <c r="G385" s="27">
        <v>38</v>
      </c>
      <c r="H385" s="27">
        <v>66</v>
      </c>
      <c r="I385" s="27">
        <v>81</v>
      </c>
      <c r="J385" s="27">
        <v>146</v>
      </c>
      <c r="K385" s="27">
        <v>248</v>
      </c>
      <c r="L385" s="27">
        <v>411</v>
      </c>
      <c r="M385" s="27">
        <v>597</v>
      </c>
      <c r="N385" s="27">
        <v>66</v>
      </c>
      <c r="O385" s="28">
        <v>1835</v>
      </c>
      <c r="P385" s="29">
        <v>380501.93400000001</v>
      </c>
      <c r="Q385" s="30">
        <v>784125.14599999995</v>
      </c>
      <c r="R385" s="30">
        <v>821628.66100000008</v>
      </c>
      <c r="S385" s="30">
        <v>786469.10400000028</v>
      </c>
      <c r="T385" s="30">
        <v>798266.26699999999</v>
      </c>
      <c r="U385" s="30">
        <v>857550.19199999969</v>
      </c>
      <c r="V385" s="30">
        <v>753877.45200000005</v>
      </c>
      <c r="W385" s="30">
        <v>476115.78599999996</v>
      </c>
      <c r="X385" s="30">
        <v>255731.58</v>
      </c>
      <c r="Y385" s="30">
        <v>95303.801000000007</v>
      </c>
      <c r="Z385" s="31">
        <v>6009329</v>
      </c>
      <c r="AA385" s="32">
        <f t="shared" si="26"/>
        <v>2.3127346311990098E-4</v>
      </c>
      <c r="AB385" s="32">
        <f t="shared" si="26"/>
        <v>4.2085118897589854E-5</v>
      </c>
      <c r="AC385" s="32">
        <f t="shared" si="26"/>
        <v>7.4242784965360397E-5</v>
      </c>
      <c r="AD385" s="32">
        <f t="shared" si="26"/>
        <v>4.8317219083027048E-5</v>
      </c>
      <c r="AE385" s="32">
        <f t="shared" si="26"/>
        <v>8.2679179527449587E-5</v>
      </c>
      <c r="AF385" s="32">
        <f t="shared" si="25"/>
        <v>9.445511266353962E-5</v>
      </c>
      <c r="AG385" s="32">
        <f t="shared" si="25"/>
        <v>1.9366542879438711E-4</v>
      </c>
      <c r="AH385" s="32">
        <f t="shared" si="25"/>
        <v>5.2088169998211324E-4</v>
      </c>
      <c r="AI385" s="32">
        <f t="shared" si="25"/>
        <v>1.6071538759507137E-3</v>
      </c>
      <c r="AJ385" s="32">
        <f t="shared" si="25"/>
        <v>6.2641782776323889E-3</v>
      </c>
      <c r="AK385" s="33">
        <f t="shared" si="24"/>
        <v>3.0535855167856512E-4</v>
      </c>
    </row>
    <row r="386" spans="1:37" x14ac:dyDescent="0.3">
      <c r="A386" t="s">
        <v>81</v>
      </c>
      <c r="B386" s="1">
        <v>2014</v>
      </c>
      <c r="C386" s="1" t="str">
        <f t="shared" si="23"/>
        <v>Tennessee, 2014</v>
      </c>
      <c r="D386" s="27">
        <v>97</v>
      </c>
      <c r="E386" s="27">
        <v>58</v>
      </c>
      <c r="F386" s="27">
        <v>53</v>
      </c>
      <c r="G386" s="27">
        <v>56</v>
      </c>
      <c r="H386" s="27">
        <v>61</v>
      </c>
      <c r="I386" s="27">
        <v>101</v>
      </c>
      <c r="J386" s="27">
        <v>178</v>
      </c>
      <c r="K386" s="27">
        <v>257</v>
      </c>
      <c r="L386" s="27">
        <v>409</v>
      </c>
      <c r="M386" s="27">
        <v>582</v>
      </c>
      <c r="N386" s="27">
        <v>59</v>
      </c>
      <c r="O386" s="28">
        <v>1911</v>
      </c>
      <c r="P386" s="29">
        <v>385932.02500000002</v>
      </c>
      <c r="Q386" s="30">
        <v>800882.62599999993</v>
      </c>
      <c r="R386" s="30">
        <v>836338.04500000016</v>
      </c>
      <c r="S386" s="30">
        <v>803948.14799999993</v>
      </c>
      <c r="T386" s="30">
        <v>802932.05499999982</v>
      </c>
      <c r="U386" s="30">
        <v>860526.18299999996</v>
      </c>
      <c r="V386" s="30">
        <v>778686.11100000003</v>
      </c>
      <c r="W386" s="30">
        <v>510316.78300000005</v>
      </c>
      <c r="X386" s="30">
        <v>272870.12300000008</v>
      </c>
      <c r="Y386" s="30">
        <v>102175.62900000002</v>
      </c>
      <c r="Z386" s="31">
        <v>6156485</v>
      </c>
      <c r="AA386" s="32">
        <f t="shared" si="26"/>
        <v>2.5133959795121952E-4</v>
      </c>
      <c r="AB386" s="32">
        <f t="shared" si="26"/>
        <v>7.2420100170833272E-5</v>
      </c>
      <c r="AC386" s="32">
        <f t="shared" si="26"/>
        <v>6.3371504282099219E-5</v>
      </c>
      <c r="AD386" s="32">
        <f t="shared" si="26"/>
        <v>6.9656233600776958E-5</v>
      </c>
      <c r="AE386" s="32">
        <f t="shared" si="26"/>
        <v>7.5971559013172064E-5</v>
      </c>
      <c r="AF386" s="32">
        <f t="shared" ref="AF386:AJ449" si="27">I386/U386</f>
        <v>1.1737004869263811E-4</v>
      </c>
      <c r="AG386" s="32">
        <f t="shared" si="27"/>
        <v>2.2859018221271446E-4</v>
      </c>
      <c r="AH386" s="32">
        <f t="shared" si="27"/>
        <v>5.0360875550510748E-4</v>
      </c>
      <c r="AI386" s="32">
        <f t="shared" si="27"/>
        <v>1.498881575979646E-3</v>
      </c>
      <c r="AJ386" s="32">
        <f t="shared" si="27"/>
        <v>5.6960745502237127E-3</v>
      </c>
      <c r="AK386" s="33">
        <f t="shared" si="24"/>
        <v>3.1040439471549105E-4</v>
      </c>
    </row>
    <row r="387" spans="1:37" x14ac:dyDescent="0.3">
      <c r="A387" t="s">
        <v>81</v>
      </c>
      <c r="B387" s="1">
        <v>2015</v>
      </c>
      <c r="C387" s="1" t="str">
        <f t="shared" si="23"/>
        <v>Tennessee, 2015</v>
      </c>
      <c r="D387" s="27">
        <v>119</v>
      </c>
      <c r="E387" s="27">
        <v>76</v>
      </c>
      <c r="F387" s="27">
        <v>46</v>
      </c>
      <c r="G387" s="27">
        <v>49</v>
      </c>
      <c r="H387" s="27">
        <v>54</v>
      </c>
      <c r="I387" s="27">
        <v>72</v>
      </c>
      <c r="J387" s="27">
        <v>136</v>
      </c>
      <c r="K387" s="27">
        <v>308</v>
      </c>
      <c r="L387" s="27">
        <v>485</v>
      </c>
      <c r="M387" s="27">
        <v>645</v>
      </c>
      <c r="N387" s="27">
        <v>37</v>
      </c>
      <c r="O387" s="28">
        <v>2027</v>
      </c>
      <c r="P387" s="29">
        <v>385746.91700000007</v>
      </c>
      <c r="Q387" s="30">
        <v>805538.9499999996</v>
      </c>
      <c r="R387" s="30">
        <v>843725.56599999976</v>
      </c>
      <c r="S387" s="30">
        <v>818638.88700000034</v>
      </c>
      <c r="T387" s="30">
        <v>807867.23200000019</v>
      </c>
      <c r="U387" s="30">
        <v>864800.60300000012</v>
      </c>
      <c r="V387" s="30">
        <v>797524.58399999992</v>
      </c>
      <c r="W387" s="30">
        <v>529698.26799999992</v>
      </c>
      <c r="X387" s="30">
        <v>271662.83899999998</v>
      </c>
      <c r="Y387" s="30">
        <v>102648.21899999998</v>
      </c>
      <c r="Z387" s="31">
        <v>6229678</v>
      </c>
      <c r="AA387" s="32">
        <f t="shared" ref="AA387:AE450" si="28">D387/P387</f>
        <v>3.0849242017402817E-4</v>
      </c>
      <c r="AB387" s="32">
        <f t="shared" si="28"/>
        <v>9.4346772431053819E-5</v>
      </c>
      <c r="AC387" s="32">
        <f t="shared" si="28"/>
        <v>5.4520097355921549E-5</v>
      </c>
      <c r="AD387" s="32">
        <f t="shared" si="28"/>
        <v>5.9855451259549044E-5</v>
      </c>
      <c r="AE387" s="32">
        <f t="shared" si="28"/>
        <v>6.6842666543504494E-5</v>
      </c>
      <c r="AF387" s="32">
        <f t="shared" si="27"/>
        <v>8.3256186166188399E-5</v>
      </c>
      <c r="AG387" s="32">
        <f t="shared" si="27"/>
        <v>1.7052765861823267E-4</v>
      </c>
      <c r="AH387" s="32">
        <f t="shared" si="27"/>
        <v>5.8146310570907902E-4</v>
      </c>
      <c r="AI387" s="32">
        <f t="shared" si="27"/>
        <v>1.7853012277472373E-3</v>
      </c>
      <c r="AJ387" s="32">
        <f t="shared" si="27"/>
        <v>6.2835966009307971E-3</v>
      </c>
      <c r="AK387" s="33">
        <f t="shared" si="24"/>
        <v>3.2537797298672581E-4</v>
      </c>
    </row>
    <row r="388" spans="1:37" x14ac:dyDescent="0.3">
      <c r="A388" t="s">
        <v>81</v>
      </c>
      <c r="B388" s="1">
        <v>2016</v>
      </c>
      <c r="C388" s="1" t="str">
        <f t="shared" ref="C388:C451" si="29">A388&amp;", "&amp;B388</f>
        <v>Tennessee, 2016</v>
      </c>
      <c r="D388" s="27">
        <v>102</v>
      </c>
      <c r="E388" s="27">
        <v>57</v>
      </c>
      <c r="F388" s="27">
        <v>40</v>
      </c>
      <c r="G388" s="27">
        <v>52</v>
      </c>
      <c r="H388" s="27">
        <v>55</v>
      </c>
      <c r="I388" s="27">
        <v>73</v>
      </c>
      <c r="J388" s="27">
        <v>181</v>
      </c>
      <c r="K388" s="27">
        <v>281</v>
      </c>
      <c r="L388" s="27">
        <v>412</v>
      </c>
      <c r="M388" s="27">
        <v>519</v>
      </c>
      <c r="N388" s="27">
        <v>25</v>
      </c>
      <c r="O388" s="28">
        <v>1797</v>
      </c>
      <c r="P388" s="29">
        <v>380822.86499999993</v>
      </c>
      <c r="Q388" s="30">
        <v>789847.83</v>
      </c>
      <c r="R388" s="30">
        <v>831196.90099999984</v>
      </c>
      <c r="S388" s="30">
        <v>816692.47399999981</v>
      </c>
      <c r="T388" s="30">
        <v>788999.37399999972</v>
      </c>
      <c r="U388" s="30">
        <v>840502.23399999994</v>
      </c>
      <c r="V388" s="30">
        <v>788261.55499999982</v>
      </c>
      <c r="W388" s="30">
        <v>540872.60400000005</v>
      </c>
      <c r="X388" s="30">
        <v>270343.83700000006</v>
      </c>
      <c r="Y388" s="30">
        <v>100272.71900000003</v>
      </c>
      <c r="Z388" s="31">
        <v>6147255</v>
      </c>
      <c r="AA388" s="32">
        <f t="shared" si="28"/>
        <v>2.6784106043632652E-4</v>
      </c>
      <c r="AB388" s="32">
        <f t="shared" si="28"/>
        <v>7.2165799328713744E-5</v>
      </c>
      <c r="AC388" s="32">
        <f t="shared" si="28"/>
        <v>4.8123374800695999E-5</v>
      </c>
      <c r="AD388" s="32">
        <f t="shared" si="28"/>
        <v>6.3671457317727179E-5</v>
      </c>
      <c r="AE388" s="32">
        <f t="shared" si="28"/>
        <v>6.970854706913876E-5</v>
      </c>
      <c r="AF388" s="32">
        <f t="shared" si="27"/>
        <v>8.6852832802821565E-5</v>
      </c>
      <c r="AG388" s="32">
        <f t="shared" si="27"/>
        <v>2.296192156675712E-4</v>
      </c>
      <c r="AH388" s="32">
        <f t="shared" si="27"/>
        <v>5.1953084316320812E-4</v>
      </c>
      <c r="AI388" s="32">
        <f t="shared" si="27"/>
        <v>1.5239851759594576E-3</v>
      </c>
      <c r="AJ388" s="32">
        <f t="shared" si="27"/>
        <v>5.1758843798780391E-3</v>
      </c>
      <c r="AK388" s="33">
        <f t="shared" ref="AK388:AK451" si="30">O388/Z388</f>
        <v>2.9232559898686485E-4</v>
      </c>
    </row>
    <row r="389" spans="1:37" x14ac:dyDescent="0.3">
      <c r="A389" t="s">
        <v>81</v>
      </c>
      <c r="B389" s="1">
        <v>2017</v>
      </c>
      <c r="C389" s="1" t="str">
        <f t="shared" si="29"/>
        <v>Tennessee, 2017</v>
      </c>
      <c r="D389" s="27">
        <v>101</v>
      </c>
      <c r="E389" s="27">
        <v>37</v>
      </c>
      <c r="F389" s="27">
        <v>51</v>
      </c>
      <c r="G389" s="27">
        <v>65</v>
      </c>
      <c r="H389" s="27">
        <v>71</v>
      </c>
      <c r="I389" s="27">
        <v>77</v>
      </c>
      <c r="J389" s="27">
        <v>168</v>
      </c>
      <c r="K389" s="27">
        <v>337</v>
      </c>
      <c r="L389" s="27">
        <v>439</v>
      </c>
      <c r="M389" s="27">
        <v>545</v>
      </c>
      <c r="N389" s="27">
        <v>54</v>
      </c>
      <c r="O389" s="28">
        <v>1945</v>
      </c>
      <c r="P389" s="29">
        <v>386574</v>
      </c>
      <c r="Q389" s="30">
        <v>802032</v>
      </c>
      <c r="R389" s="30">
        <v>847619</v>
      </c>
      <c r="S389" s="30">
        <v>848157</v>
      </c>
      <c r="T389" s="30">
        <v>803346</v>
      </c>
      <c r="U389" s="30">
        <v>849874</v>
      </c>
      <c r="V389" s="30">
        <v>809579</v>
      </c>
      <c r="W389" s="30">
        <v>563511</v>
      </c>
      <c r="X389" s="30">
        <v>276810</v>
      </c>
      <c r="Y389" s="30">
        <v>105205</v>
      </c>
      <c r="Z389" s="31">
        <v>6292707</v>
      </c>
      <c r="AA389" s="32">
        <f t="shared" si="28"/>
        <v>2.612695111414632E-4</v>
      </c>
      <c r="AB389" s="32">
        <f t="shared" si="28"/>
        <v>4.6132822630518485E-5</v>
      </c>
      <c r="AC389" s="32">
        <f t="shared" si="28"/>
        <v>6.0168542706097907E-5</v>
      </c>
      <c r="AD389" s="32">
        <f t="shared" si="28"/>
        <v>7.6636754751773547E-5</v>
      </c>
      <c r="AE389" s="32">
        <f t="shared" si="28"/>
        <v>8.8380349189514859E-5</v>
      </c>
      <c r="AF389" s="32">
        <f t="shared" si="27"/>
        <v>9.0601665658674105E-5</v>
      </c>
      <c r="AG389" s="32">
        <f t="shared" si="27"/>
        <v>2.0751526410640593E-4</v>
      </c>
      <c r="AH389" s="32">
        <f t="shared" si="27"/>
        <v>5.9803624064126519E-4</v>
      </c>
      <c r="AI389" s="32">
        <f t="shared" si="27"/>
        <v>1.5859253639680646E-3</v>
      </c>
      <c r="AJ389" s="32">
        <f t="shared" si="27"/>
        <v>5.1803621500879238E-3</v>
      </c>
      <c r="AK389" s="33">
        <f t="shared" si="30"/>
        <v>3.0908796484565388E-4</v>
      </c>
    </row>
    <row r="390" spans="1:37" x14ac:dyDescent="0.3">
      <c r="A390" t="s">
        <v>82</v>
      </c>
      <c r="B390" s="1">
        <v>2009</v>
      </c>
      <c r="C390" s="1" t="str">
        <f t="shared" si="29"/>
        <v>Texas, 2009</v>
      </c>
      <c r="D390" s="27">
        <v>122</v>
      </c>
      <c r="E390" s="27">
        <v>59</v>
      </c>
      <c r="F390" s="27">
        <v>41</v>
      </c>
      <c r="G390" s="27">
        <v>75</v>
      </c>
      <c r="H390" s="27">
        <v>127</v>
      </c>
      <c r="I390" s="27">
        <v>224</v>
      </c>
      <c r="J390" s="27">
        <v>317</v>
      </c>
      <c r="K390" s="27">
        <v>415</v>
      </c>
      <c r="L390" s="27">
        <v>852</v>
      </c>
      <c r="M390" s="27">
        <v>1245</v>
      </c>
      <c r="N390" s="27">
        <v>62</v>
      </c>
      <c r="O390" s="28">
        <v>3539</v>
      </c>
      <c r="P390" s="29">
        <v>1985625.7340000004</v>
      </c>
      <c r="Q390" s="30">
        <v>3566777.6169999987</v>
      </c>
      <c r="R390" s="30">
        <v>3508389.5350000006</v>
      </c>
      <c r="S390" s="30">
        <v>3482930.1059999992</v>
      </c>
      <c r="T390" s="30">
        <v>3379838.4699999974</v>
      </c>
      <c r="U390" s="30">
        <v>3189718.6149999988</v>
      </c>
      <c r="V390" s="30">
        <v>2232492.8169999989</v>
      </c>
      <c r="W390" s="30">
        <v>1285094.737999999</v>
      </c>
      <c r="X390" s="30">
        <v>809215.82099999965</v>
      </c>
      <c r="Y390" s="30">
        <v>293159.61399999988</v>
      </c>
      <c r="Z390" s="31">
        <v>23721521</v>
      </c>
      <c r="AA390" s="32">
        <f t="shared" si="28"/>
        <v>6.1441588870946807E-5</v>
      </c>
      <c r="AB390" s="32">
        <f t="shared" si="28"/>
        <v>1.6541541507604459E-5</v>
      </c>
      <c r="AC390" s="32">
        <f t="shared" si="28"/>
        <v>1.1686273599604723E-5</v>
      </c>
      <c r="AD390" s="32">
        <f t="shared" si="28"/>
        <v>2.1533593186609877E-5</v>
      </c>
      <c r="AE390" s="32">
        <f t="shared" si="28"/>
        <v>3.7575760240399922E-5</v>
      </c>
      <c r="AF390" s="32">
        <f t="shared" si="27"/>
        <v>7.0225630231649785E-5</v>
      </c>
      <c r="AG390" s="32">
        <f t="shared" si="27"/>
        <v>1.4199373793550717E-4</v>
      </c>
      <c r="AH390" s="32">
        <f t="shared" si="27"/>
        <v>3.2293338983386324E-4</v>
      </c>
      <c r="AI390" s="32">
        <f t="shared" si="27"/>
        <v>1.0528711598188098E-3</v>
      </c>
      <c r="AJ390" s="32">
        <f t="shared" si="27"/>
        <v>4.2468332626471551E-3</v>
      </c>
      <c r="AK390" s="33">
        <f t="shared" si="30"/>
        <v>1.4918942170698076E-4</v>
      </c>
    </row>
    <row r="391" spans="1:37" x14ac:dyDescent="0.3">
      <c r="A391" t="s">
        <v>82</v>
      </c>
      <c r="B391" s="1">
        <v>2010</v>
      </c>
      <c r="C391" s="1" t="str">
        <f t="shared" si="29"/>
        <v>Texas, 2010</v>
      </c>
      <c r="D391" s="27">
        <v>131</v>
      </c>
      <c r="E391" s="27">
        <v>67</v>
      </c>
      <c r="F391" s="27">
        <v>55</v>
      </c>
      <c r="G391" s="27">
        <v>76</v>
      </c>
      <c r="H391" s="27">
        <v>68</v>
      </c>
      <c r="I391" s="27">
        <v>139</v>
      </c>
      <c r="J391" s="27">
        <v>266</v>
      </c>
      <c r="K391" s="27">
        <v>390</v>
      </c>
      <c r="L391" s="27">
        <v>826</v>
      </c>
      <c r="M391" s="27">
        <v>1219</v>
      </c>
      <c r="N391" s="27">
        <v>51</v>
      </c>
      <c r="O391" s="28">
        <v>3288</v>
      </c>
      <c r="P391" s="29">
        <v>1885912.7959999999</v>
      </c>
      <c r="Q391" s="30">
        <v>3620577.4100000039</v>
      </c>
      <c r="R391" s="30">
        <v>3590027.8699999992</v>
      </c>
      <c r="S391" s="30">
        <v>3448159.5979999974</v>
      </c>
      <c r="T391" s="30">
        <v>3393244.9500000007</v>
      </c>
      <c r="U391" s="30">
        <v>3282664.5919999997</v>
      </c>
      <c r="V391" s="30">
        <v>2369164.8110000002</v>
      </c>
      <c r="W391" s="30">
        <v>1352882.6179999996</v>
      </c>
      <c r="X391" s="30">
        <v>787872.48900000041</v>
      </c>
      <c r="Y391" s="30">
        <v>286066.63700000005</v>
      </c>
      <c r="Z391" s="31">
        <v>24013692</v>
      </c>
      <c r="AA391" s="32">
        <f t="shared" si="28"/>
        <v>6.9462384622369361E-5</v>
      </c>
      <c r="AB391" s="32">
        <f t="shared" si="28"/>
        <v>1.8505335589551702E-5</v>
      </c>
      <c r="AC391" s="32">
        <f t="shared" si="28"/>
        <v>1.5320215327464856E-5</v>
      </c>
      <c r="AD391" s="32">
        <f t="shared" si="28"/>
        <v>2.2040743138479304E-5</v>
      </c>
      <c r="AE391" s="32">
        <f t="shared" si="28"/>
        <v>2.0039814691244139E-5</v>
      </c>
      <c r="AF391" s="32">
        <f t="shared" si="27"/>
        <v>4.2343649832136131E-5</v>
      </c>
      <c r="AG391" s="32">
        <f t="shared" si="27"/>
        <v>1.1227585297779437E-4</v>
      </c>
      <c r="AH391" s="32">
        <f t="shared" si="27"/>
        <v>2.882733467124789E-4</v>
      </c>
      <c r="AI391" s="32">
        <f t="shared" si="27"/>
        <v>1.0483929970043662E-3</v>
      </c>
      <c r="AJ391" s="32">
        <f t="shared" si="27"/>
        <v>4.2612449070738708E-3</v>
      </c>
      <c r="AK391" s="33">
        <f t="shared" si="30"/>
        <v>1.3692188606400049E-4</v>
      </c>
    </row>
    <row r="392" spans="1:37" x14ac:dyDescent="0.3">
      <c r="A392" t="s">
        <v>82</v>
      </c>
      <c r="B392" s="1">
        <v>2011</v>
      </c>
      <c r="C392" s="1" t="str">
        <f t="shared" si="29"/>
        <v>Texas, 2011</v>
      </c>
      <c r="D392" s="27">
        <v>106</v>
      </c>
      <c r="E392" s="27">
        <v>35</v>
      </c>
      <c r="F392" s="27">
        <v>58</v>
      </c>
      <c r="G392" s="27">
        <v>69</v>
      </c>
      <c r="H392" s="27">
        <v>65</v>
      </c>
      <c r="I392" s="27">
        <v>136</v>
      </c>
      <c r="J392" s="27">
        <v>280</v>
      </c>
      <c r="K392" s="27">
        <v>405</v>
      </c>
      <c r="L392" s="27">
        <v>803</v>
      </c>
      <c r="M392" s="27">
        <v>1265</v>
      </c>
      <c r="N392" s="27">
        <v>35</v>
      </c>
      <c r="O392" s="28">
        <v>3257</v>
      </c>
      <c r="P392" s="29">
        <v>1907163.740999999</v>
      </c>
      <c r="Q392" s="30">
        <v>3695896.4590000031</v>
      </c>
      <c r="R392" s="30">
        <v>3649107.1120000016</v>
      </c>
      <c r="S392" s="30">
        <v>3525773.7899999986</v>
      </c>
      <c r="T392" s="30">
        <v>3425446.9099999992</v>
      </c>
      <c r="U392" s="30">
        <v>3349806.8719999972</v>
      </c>
      <c r="V392" s="30">
        <v>2485593.3859999995</v>
      </c>
      <c r="W392" s="30">
        <v>1412837.6059999985</v>
      </c>
      <c r="X392" s="30">
        <v>801826.9319999998</v>
      </c>
      <c r="Y392" s="30">
        <v>297477.46700000012</v>
      </c>
      <c r="Z392" s="31">
        <v>24555737</v>
      </c>
      <c r="AA392" s="32">
        <f t="shared" si="28"/>
        <v>5.5579915725757318E-5</v>
      </c>
      <c r="AB392" s="32">
        <f t="shared" si="28"/>
        <v>9.4699622644379858E-6</v>
      </c>
      <c r="AC392" s="32">
        <f t="shared" si="28"/>
        <v>1.5894299131222644E-5</v>
      </c>
      <c r="AD392" s="32">
        <f t="shared" si="28"/>
        <v>1.9570172140850826E-5</v>
      </c>
      <c r="AE392" s="32">
        <f t="shared" si="28"/>
        <v>1.897562616143422E-5</v>
      </c>
      <c r="AF392" s="32">
        <f t="shared" si="27"/>
        <v>4.0599355484276444E-5</v>
      </c>
      <c r="AG392" s="32">
        <f t="shared" si="27"/>
        <v>1.1264915716990891E-4</v>
      </c>
      <c r="AH392" s="32">
        <f t="shared" si="27"/>
        <v>2.8665714890377885E-4</v>
      </c>
      <c r="AI392" s="32">
        <f t="shared" si="27"/>
        <v>1.0014629940117803E-3</v>
      </c>
      <c r="AJ392" s="32">
        <f t="shared" si="27"/>
        <v>4.2524229238512356E-3</v>
      </c>
      <c r="AK392" s="33">
        <f t="shared" si="30"/>
        <v>1.3263702897616146E-4</v>
      </c>
    </row>
    <row r="393" spans="1:37" x14ac:dyDescent="0.3">
      <c r="A393" t="s">
        <v>82</v>
      </c>
      <c r="B393" s="1">
        <v>2012</v>
      </c>
      <c r="C393" s="1" t="str">
        <f t="shared" si="29"/>
        <v>Texas, 2012</v>
      </c>
      <c r="D393" s="27">
        <v>117</v>
      </c>
      <c r="E393" s="27">
        <v>42</v>
      </c>
      <c r="F393" s="27">
        <v>42</v>
      </c>
      <c r="G393" s="27">
        <v>43</v>
      </c>
      <c r="H393" s="27">
        <v>68</v>
      </c>
      <c r="I393" s="27">
        <v>134</v>
      </c>
      <c r="J393" s="27">
        <v>250</v>
      </c>
      <c r="K393" s="27">
        <v>440</v>
      </c>
      <c r="L393" s="27">
        <v>784</v>
      </c>
      <c r="M393" s="27">
        <v>1211</v>
      </c>
      <c r="N393" s="27">
        <v>43</v>
      </c>
      <c r="O393" s="28">
        <v>3174</v>
      </c>
      <c r="P393" s="29">
        <v>1893882.5710000009</v>
      </c>
      <c r="Q393" s="30">
        <v>3720651.0330000003</v>
      </c>
      <c r="R393" s="30">
        <v>3655803.9669999997</v>
      </c>
      <c r="S393" s="30">
        <v>3565857.3930000016</v>
      </c>
      <c r="T393" s="30">
        <v>3419714.703999998</v>
      </c>
      <c r="U393" s="30">
        <v>3350676.3569999994</v>
      </c>
      <c r="V393" s="30">
        <v>2561054.3610000005</v>
      </c>
      <c r="W393" s="30">
        <v>1460889.6350000002</v>
      </c>
      <c r="X393" s="30">
        <v>807495.89199999964</v>
      </c>
      <c r="Y393" s="30">
        <v>305654.17499999987</v>
      </c>
      <c r="Z393" s="31">
        <v>24739172</v>
      </c>
      <c r="AA393" s="32">
        <f t="shared" si="28"/>
        <v>6.1777853490790658E-5</v>
      </c>
      <c r="AB393" s="32">
        <f t="shared" si="28"/>
        <v>1.1288347019778137E-5</v>
      </c>
      <c r="AC393" s="32">
        <f t="shared" si="28"/>
        <v>1.1488581001367464E-5</v>
      </c>
      <c r="AD393" s="32">
        <f t="shared" si="28"/>
        <v>1.2058810900405513E-5</v>
      </c>
      <c r="AE393" s="32">
        <f t="shared" si="28"/>
        <v>1.9884699714997055E-5</v>
      </c>
      <c r="AF393" s="32">
        <f t="shared" si="27"/>
        <v>3.9991925725699097E-5</v>
      </c>
      <c r="AG393" s="32">
        <f t="shared" si="27"/>
        <v>9.7616045878223335E-5</v>
      </c>
      <c r="AH393" s="32">
        <f t="shared" si="27"/>
        <v>3.0118633841905515E-4</v>
      </c>
      <c r="AI393" s="32">
        <f t="shared" si="27"/>
        <v>9.7090277209732276E-4</v>
      </c>
      <c r="AJ393" s="32">
        <f t="shared" si="27"/>
        <v>3.9619939757080053E-3</v>
      </c>
      <c r="AK393" s="33">
        <f t="shared" si="30"/>
        <v>1.2829855421191946E-4</v>
      </c>
    </row>
    <row r="394" spans="1:37" x14ac:dyDescent="0.3">
      <c r="A394" t="s">
        <v>82</v>
      </c>
      <c r="B394" s="1">
        <v>2013</v>
      </c>
      <c r="C394" s="1" t="str">
        <f t="shared" si="29"/>
        <v>Texas, 2013</v>
      </c>
      <c r="D394" s="27">
        <v>121</v>
      </c>
      <c r="E394" s="27">
        <v>40</v>
      </c>
      <c r="F394" s="27">
        <v>55</v>
      </c>
      <c r="G394" s="27">
        <v>79</v>
      </c>
      <c r="H394" s="27">
        <v>85</v>
      </c>
      <c r="I394" s="27">
        <v>180</v>
      </c>
      <c r="J394" s="27">
        <v>365</v>
      </c>
      <c r="K394" s="27">
        <v>490</v>
      </c>
      <c r="L394" s="27">
        <v>841</v>
      </c>
      <c r="M394" s="27">
        <v>1277</v>
      </c>
      <c r="N394" s="27">
        <v>53</v>
      </c>
      <c r="O394" s="28">
        <v>3586</v>
      </c>
      <c r="P394" s="29">
        <v>1907517.2189999993</v>
      </c>
      <c r="Q394" s="30">
        <v>3802493.2609999995</v>
      </c>
      <c r="R394" s="30">
        <v>3709277.2290000021</v>
      </c>
      <c r="S394" s="30">
        <v>3636664.7500000037</v>
      </c>
      <c r="T394" s="30">
        <v>3460340.0120000006</v>
      </c>
      <c r="U394" s="30">
        <v>3379022.4700000007</v>
      </c>
      <c r="V394" s="30">
        <v>2654784.6769999997</v>
      </c>
      <c r="W394" s="30">
        <v>1529822.3269999984</v>
      </c>
      <c r="X394" s="30">
        <v>826678.56700000074</v>
      </c>
      <c r="Y394" s="30">
        <v>315616.02100000012</v>
      </c>
      <c r="Z394" s="31">
        <v>25225730</v>
      </c>
      <c r="AA394" s="32">
        <f t="shared" si="28"/>
        <v>6.3433241280743609E-5</v>
      </c>
      <c r="AB394" s="32">
        <f t="shared" si="28"/>
        <v>1.051941377786442E-5</v>
      </c>
      <c r="AC394" s="32">
        <f t="shared" si="28"/>
        <v>1.4827686528792471E-5</v>
      </c>
      <c r="AD394" s="32">
        <f t="shared" si="28"/>
        <v>2.1723201183172005E-5</v>
      </c>
      <c r="AE394" s="32">
        <f t="shared" si="28"/>
        <v>2.4564060093872645E-5</v>
      </c>
      <c r="AF394" s="32">
        <f t="shared" si="27"/>
        <v>5.3269844044570667E-5</v>
      </c>
      <c r="AG394" s="32">
        <f t="shared" si="27"/>
        <v>1.3748760988498054E-4</v>
      </c>
      <c r="AH394" s="32">
        <f t="shared" si="27"/>
        <v>3.2029863295360343E-4</v>
      </c>
      <c r="AI394" s="32">
        <f t="shared" si="27"/>
        <v>1.017324064723211E-3</v>
      </c>
      <c r="AJ394" s="32">
        <f t="shared" si="27"/>
        <v>4.0460556975338065E-3</v>
      </c>
      <c r="AK394" s="33">
        <f t="shared" si="30"/>
        <v>1.4215644106235973E-4</v>
      </c>
    </row>
    <row r="395" spans="1:37" x14ac:dyDescent="0.3">
      <c r="A395" t="s">
        <v>82</v>
      </c>
      <c r="B395" s="1">
        <v>2014</v>
      </c>
      <c r="C395" s="1" t="str">
        <f t="shared" si="29"/>
        <v>Texas, 2014</v>
      </c>
      <c r="D395" s="27">
        <v>95</v>
      </c>
      <c r="E395" s="27">
        <v>58</v>
      </c>
      <c r="F395" s="27">
        <v>54</v>
      </c>
      <c r="G395" s="27">
        <v>88</v>
      </c>
      <c r="H395" s="27">
        <v>109</v>
      </c>
      <c r="I395" s="27">
        <v>199</v>
      </c>
      <c r="J395" s="27">
        <v>458</v>
      </c>
      <c r="K395" s="27">
        <v>533</v>
      </c>
      <c r="L395" s="27">
        <v>829</v>
      </c>
      <c r="M395" s="27">
        <v>1190</v>
      </c>
      <c r="N395" s="27">
        <v>50</v>
      </c>
      <c r="O395" s="28">
        <v>3663</v>
      </c>
      <c r="P395" s="29">
        <v>1906788.5490000001</v>
      </c>
      <c r="Q395" s="30">
        <v>3844447.2659999975</v>
      </c>
      <c r="R395" s="30">
        <v>3741444.497</v>
      </c>
      <c r="S395" s="30">
        <v>3710430.5350000011</v>
      </c>
      <c r="T395" s="30">
        <v>3496852.5709999972</v>
      </c>
      <c r="U395" s="30">
        <v>3392768.3550000018</v>
      </c>
      <c r="V395" s="30">
        <v>2743710.2679999997</v>
      </c>
      <c r="W395" s="30">
        <v>1603890.5220000001</v>
      </c>
      <c r="X395" s="30">
        <v>846557.78700000013</v>
      </c>
      <c r="Y395" s="30">
        <v>324439.2099999999</v>
      </c>
      <c r="Z395" s="31">
        <v>25604557</v>
      </c>
      <c r="AA395" s="32">
        <f t="shared" si="28"/>
        <v>4.9821989989305305E-5</v>
      </c>
      <c r="AB395" s="32">
        <f t="shared" si="28"/>
        <v>1.5086694129725133E-5</v>
      </c>
      <c r="AC395" s="32">
        <f t="shared" si="28"/>
        <v>1.4432928256265404E-5</v>
      </c>
      <c r="AD395" s="32">
        <f t="shared" si="28"/>
        <v>2.3716924267927301E-5</v>
      </c>
      <c r="AE395" s="32">
        <f t="shared" si="28"/>
        <v>3.1170888044853773E-5</v>
      </c>
      <c r="AF395" s="32">
        <f t="shared" si="27"/>
        <v>5.8654166502917612E-5</v>
      </c>
      <c r="AG395" s="32">
        <f t="shared" si="27"/>
        <v>1.6692724641580124E-4</v>
      </c>
      <c r="AH395" s="32">
        <f t="shared" si="27"/>
        <v>3.3231694600661775E-4</v>
      </c>
      <c r="AI395" s="32">
        <f t="shared" si="27"/>
        <v>9.7925978914892428E-4</v>
      </c>
      <c r="AJ395" s="32">
        <f t="shared" si="27"/>
        <v>3.6678673949428011E-3</v>
      </c>
      <c r="AK395" s="33">
        <f t="shared" si="30"/>
        <v>1.4306047161839199E-4</v>
      </c>
    </row>
    <row r="396" spans="1:37" x14ac:dyDescent="0.3">
      <c r="A396" t="s">
        <v>82</v>
      </c>
      <c r="B396" s="1">
        <v>2015</v>
      </c>
      <c r="C396" s="1" t="str">
        <f t="shared" si="29"/>
        <v>Texas, 2015</v>
      </c>
      <c r="D396" s="27">
        <v>101</v>
      </c>
      <c r="E396" s="27">
        <v>58</v>
      </c>
      <c r="F396" s="27">
        <v>60</v>
      </c>
      <c r="G396" s="27">
        <v>44</v>
      </c>
      <c r="H396" s="27">
        <v>69</v>
      </c>
      <c r="I396" s="27">
        <v>158</v>
      </c>
      <c r="J396" s="27">
        <v>318</v>
      </c>
      <c r="K396" s="27">
        <v>496</v>
      </c>
      <c r="L396" s="27">
        <v>826</v>
      </c>
      <c r="M396" s="27">
        <v>1253</v>
      </c>
      <c r="N396" s="27">
        <v>34</v>
      </c>
      <c r="O396" s="28">
        <v>3417</v>
      </c>
      <c r="P396" s="29">
        <v>1870738.5610000009</v>
      </c>
      <c r="Q396" s="30">
        <v>3792154.4669999997</v>
      </c>
      <c r="R396" s="30">
        <v>3717250.8099999982</v>
      </c>
      <c r="S396" s="30">
        <v>3688699.2769999974</v>
      </c>
      <c r="T396" s="30">
        <v>3458280.1010000017</v>
      </c>
      <c r="U396" s="30">
        <v>3312300.8059999999</v>
      </c>
      <c r="V396" s="30">
        <v>2754296.7890000008</v>
      </c>
      <c r="W396" s="30">
        <v>1642494.6510000001</v>
      </c>
      <c r="X396" s="30">
        <v>842094.85199999984</v>
      </c>
      <c r="Y396" s="30">
        <v>321270.56799999997</v>
      </c>
      <c r="Z396" s="31">
        <v>25408028</v>
      </c>
      <c r="AA396" s="32">
        <f t="shared" si="28"/>
        <v>5.3989371954791255E-5</v>
      </c>
      <c r="AB396" s="32">
        <f t="shared" si="28"/>
        <v>1.5294735619217592E-5</v>
      </c>
      <c r="AC396" s="32">
        <f t="shared" si="28"/>
        <v>1.6140960905460139E-5</v>
      </c>
      <c r="AD396" s="32">
        <f t="shared" si="28"/>
        <v>1.192832396892625E-5</v>
      </c>
      <c r="AE396" s="32">
        <f t="shared" si="28"/>
        <v>1.9952114341475075E-5</v>
      </c>
      <c r="AF396" s="32">
        <f t="shared" si="27"/>
        <v>4.7700981660178364E-5</v>
      </c>
      <c r="AG396" s="32">
        <f t="shared" si="27"/>
        <v>1.1545596729808332E-4</v>
      </c>
      <c r="AH396" s="32">
        <f t="shared" si="27"/>
        <v>3.0197967445313767E-4</v>
      </c>
      <c r="AI396" s="32">
        <f t="shared" si="27"/>
        <v>9.8088712695277246E-4</v>
      </c>
      <c r="AJ396" s="32">
        <f t="shared" si="27"/>
        <v>3.9001393990127351E-3</v>
      </c>
      <c r="AK396" s="33">
        <f t="shared" si="30"/>
        <v>1.3448505330677376E-4</v>
      </c>
    </row>
    <row r="397" spans="1:37" x14ac:dyDescent="0.3">
      <c r="A397" t="s">
        <v>82</v>
      </c>
      <c r="B397" s="1">
        <v>2016</v>
      </c>
      <c r="C397" s="1" t="str">
        <f t="shared" si="29"/>
        <v>Texas, 2016</v>
      </c>
      <c r="D397" s="27">
        <v>132</v>
      </c>
      <c r="E397" s="27">
        <v>55</v>
      </c>
      <c r="F397" s="27">
        <v>66</v>
      </c>
      <c r="G397" s="27">
        <v>70</v>
      </c>
      <c r="H397" s="27">
        <v>86</v>
      </c>
      <c r="I397" s="27">
        <v>114</v>
      </c>
      <c r="J397" s="27">
        <v>320</v>
      </c>
      <c r="K397" s="27">
        <v>518</v>
      </c>
      <c r="L397" s="27">
        <v>716</v>
      </c>
      <c r="M397" s="27">
        <v>1026</v>
      </c>
      <c r="N397" s="27">
        <v>40</v>
      </c>
      <c r="O397" s="28">
        <v>3143</v>
      </c>
      <c r="P397" s="29">
        <v>1904661.5450000009</v>
      </c>
      <c r="Q397" s="30">
        <v>3868889.632999999</v>
      </c>
      <c r="R397" s="30">
        <v>3780108.3730000029</v>
      </c>
      <c r="S397" s="30">
        <v>3795805.0009999992</v>
      </c>
      <c r="T397" s="30">
        <v>3533257.2680000006</v>
      </c>
      <c r="U397" s="30">
        <v>3347999.92</v>
      </c>
      <c r="V397" s="30">
        <v>2842464.5349999992</v>
      </c>
      <c r="W397" s="30">
        <v>1744376.3280000016</v>
      </c>
      <c r="X397" s="30">
        <v>872631.12199999997</v>
      </c>
      <c r="Y397" s="30">
        <v>335995.32200000016</v>
      </c>
      <c r="Z397" s="31">
        <v>26027552</v>
      </c>
      <c r="AA397" s="32">
        <f t="shared" si="28"/>
        <v>6.9303651531432548E-5</v>
      </c>
      <c r="AB397" s="32">
        <f t="shared" si="28"/>
        <v>1.421596510039293E-5</v>
      </c>
      <c r="AC397" s="32">
        <f t="shared" si="28"/>
        <v>1.7459816885519738E-5</v>
      </c>
      <c r="AD397" s="32">
        <f t="shared" si="28"/>
        <v>1.8441410973840491E-5</v>
      </c>
      <c r="AE397" s="32">
        <f t="shared" si="28"/>
        <v>2.4340146634349181E-5</v>
      </c>
      <c r="AF397" s="32">
        <f t="shared" si="27"/>
        <v>3.4050180025093907E-5</v>
      </c>
      <c r="AG397" s="32">
        <f t="shared" si="27"/>
        <v>1.1257836150979456E-4</v>
      </c>
      <c r="AH397" s="32">
        <f t="shared" si="27"/>
        <v>2.9695427052367078E-4</v>
      </c>
      <c r="AI397" s="32">
        <f t="shared" si="27"/>
        <v>8.2050706415213092E-4</v>
      </c>
      <c r="AJ397" s="32">
        <f t="shared" si="27"/>
        <v>3.0536139428750724E-3</v>
      </c>
      <c r="AK397" s="33">
        <f t="shared" si="30"/>
        <v>1.207566504909874E-4</v>
      </c>
    </row>
    <row r="398" spans="1:37" x14ac:dyDescent="0.3">
      <c r="A398" t="s">
        <v>82</v>
      </c>
      <c r="B398" s="1">
        <v>2017</v>
      </c>
      <c r="C398" s="1" t="str">
        <f t="shared" si="29"/>
        <v>Texas, 2017</v>
      </c>
      <c r="D398" s="27">
        <v>114</v>
      </c>
      <c r="E398" s="27">
        <v>44</v>
      </c>
      <c r="F398" s="27">
        <v>64</v>
      </c>
      <c r="G398" s="27">
        <v>53</v>
      </c>
      <c r="H398" s="27">
        <v>65</v>
      </c>
      <c r="I398" s="27">
        <v>165</v>
      </c>
      <c r="J398" s="27">
        <v>326</v>
      </c>
      <c r="K398" s="27">
        <v>518</v>
      </c>
      <c r="L398" s="27">
        <v>741</v>
      </c>
      <c r="M398" s="27">
        <v>1031</v>
      </c>
      <c r="N398" s="27">
        <v>57</v>
      </c>
      <c r="O398" s="28">
        <v>3178</v>
      </c>
      <c r="P398" s="29">
        <v>1910720</v>
      </c>
      <c r="Q398" s="30">
        <v>3894548</v>
      </c>
      <c r="R398" s="30">
        <v>3803009</v>
      </c>
      <c r="S398" s="30">
        <v>3869712</v>
      </c>
      <c r="T398" s="30">
        <v>3583123</v>
      </c>
      <c r="U398" s="30">
        <v>3378141</v>
      </c>
      <c r="V398" s="30">
        <v>2928449</v>
      </c>
      <c r="W398" s="30">
        <v>1839053</v>
      </c>
      <c r="X398" s="30">
        <v>901382</v>
      </c>
      <c r="Y398" s="30">
        <v>345966</v>
      </c>
      <c r="Z398" s="31">
        <v>26454103</v>
      </c>
      <c r="AA398" s="32">
        <f t="shared" si="28"/>
        <v>5.9663372969351869E-5</v>
      </c>
      <c r="AB398" s="32">
        <f t="shared" si="28"/>
        <v>1.1297845090110586E-5</v>
      </c>
      <c r="AC398" s="32">
        <f t="shared" si="28"/>
        <v>1.6828779526948266E-5</v>
      </c>
      <c r="AD398" s="32">
        <f t="shared" si="28"/>
        <v>1.3696109684648366E-5</v>
      </c>
      <c r="AE398" s="32">
        <f t="shared" si="28"/>
        <v>1.8140599694735571E-5</v>
      </c>
      <c r="AF398" s="32">
        <f t="shared" si="27"/>
        <v>4.8843431934901474E-5</v>
      </c>
      <c r="AG398" s="32">
        <f t="shared" si="27"/>
        <v>1.1132172696195153E-4</v>
      </c>
      <c r="AH398" s="32">
        <f t="shared" si="27"/>
        <v>2.8166670563599855E-4</v>
      </c>
      <c r="AI398" s="32">
        <f t="shared" si="27"/>
        <v>8.2207099764583719E-4</v>
      </c>
      <c r="AJ398" s="32">
        <f t="shared" si="27"/>
        <v>2.9800616245527017E-3</v>
      </c>
      <c r="AK398" s="33">
        <f t="shared" si="30"/>
        <v>1.2013259342038548E-4</v>
      </c>
    </row>
    <row r="399" spans="1:37" x14ac:dyDescent="0.3">
      <c r="A399" t="s">
        <v>83</v>
      </c>
      <c r="B399" s="1">
        <v>2009</v>
      </c>
      <c r="C399" s="1" t="str">
        <f t="shared" si="29"/>
        <v>Utah, 2009</v>
      </c>
      <c r="D399" s="27">
        <v>109</v>
      </c>
      <c r="E399" s="27">
        <v>63</v>
      </c>
      <c r="F399" s="27">
        <v>66</v>
      </c>
      <c r="G399" s="27">
        <v>51</v>
      </c>
      <c r="H399" s="27">
        <v>62</v>
      </c>
      <c r="I399" s="27">
        <v>74</v>
      </c>
      <c r="J399" s="27">
        <v>64</v>
      </c>
      <c r="K399" s="27">
        <v>39</v>
      </c>
      <c r="L399" s="27">
        <v>68</v>
      </c>
      <c r="M399" s="27">
        <v>106</v>
      </c>
      <c r="N399" s="27">
        <v>63</v>
      </c>
      <c r="O399" s="28">
        <v>765</v>
      </c>
      <c r="P399" s="29">
        <v>258158.67400000003</v>
      </c>
      <c r="Q399" s="30">
        <v>438616.08299999993</v>
      </c>
      <c r="R399" s="30">
        <v>463179.386</v>
      </c>
      <c r="S399" s="30">
        <v>413122.76900000003</v>
      </c>
      <c r="T399" s="30">
        <v>318041.86699999997</v>
      </c>
      <c r="U399" s="30">
        <v>299989.28500000003</v>
      </c>
      <c r="V399" s="30">
        <v>211216.62999999998</v>
      </c>
      <c r="W399" s="30">
        <v>123373.08500000001</v>
      </c>
      <c r="X399" s="30">
        <v>79235.283000000025</v>
      </c>
      <c r="Y399" s="30">
        <v>29270.849000000002</v>
      </c>
      <c r="Z399" s="31">
        <v>2632280</v>
      </c>
      <c r="AA399" s="32">
        <f t="shared" si="28"/>
        <v>4.2222094772612594E-4</v>
      </c>
      <c r="AB399" s="32">
        <f t="shared" si="28"/>
        <v>1.4363358399696439E-4</v>
      </c>
      <c r="AC399" s="32">
        <f t="shared" si="28"/>
        <v>1.4249338808009905E-4</v>
      </c>
      <c r="AD399" s="32">
        <f t="shared" si="28"/>
        <v>1.2344998588058941E-4</v>
      </c>
      <c r="AE399" s="32">
        <f t="shared" si="28"/>
        <v>1.9494288781797401E-4</v>
      </c>
      <c r="AF399" s="32">
        <f t="shared" si="27"/>
        <v>2.4667547709245681E-4</v>
      </c>
      <c r="AG399" s="32">
        <f t="shared" si="27"/>
        <v>3.0300644414220606E-4</v>
      </c>
      <c r="AH399" s="32">
        <f t="shared" si="27"/>
        <v>3.1611432915047878E-4</v>
      </c>
      <c r="AI399" s="32">
        <f t="shared" si="27"/>
        <v>8.5820353541237403E-4</v>
      </c>
      <c r="AJ399" s="32">
        <f t="shared" si="27"/>
        <v>3.6213503749071303E-3</v>
      </c>
      <c r="AK399" s="33">
        <f t="shared" si="30"/>
        <v>2.906225781451821E-4</v>
      </c>
    </row>
    <row r="400" spans="1:37" x14ac:dyDescent="0.3">
      <c r="A400" t="s">
        <v>83</v>
      </c>
      <c r="B400" s="1">
        <v>2010</v>
      </c>
      <c r="C400" s="1" t="str">
        <f t="shared" si="29"/>
        <v>Utah, 2010</v>
      </c>
      <c r="D400" s="27">
        <v>115</v>
      </c>
      <c r="E400" s="27">
        <v>70</v>
      </c>
      <c r="F400" s="27">
        <v>48</v>
      </c>
      <c r="G400" s="27">
        <v>43</v>
      </c>
      <c r="H400" s="27">
        <v>53</v>
      </c>
      <c r="I400" s="27">
        <v>69</v>
      </c>
      <c r="J400" s="27">
        <v>49</v>
      </c>
      <c r="K400" s="27">
        <v>41</v>
      </c>
      <c r="L400" s="27">
        <v>86</v>
      </c>
      <c r="M400" s="27">
        <v>157</v>
      </c>
      <c r="N400" s="27">
        <v>46</v>
      </c>
      <c r="O400" s="28">
        <v>777</v>
      </c>
      <c r="P400" s="29">
        <v>255182.77700000006</v>
      </c>
      <c r="Q400" s="30">
        <v>450918.78999999992</v>
      </c>
      <c r="R400" s="30">
        <v>447749.777</v>
      </c>
      <c r="S400" s="30">
        <v>424964.45200000005</v>
      </c>
      <c r="T400" s="30">
        <v>319127.98700000002</v>
      </c>
      <c r="U400" s="30">
        <v>300519.783</v>
      </c>
      <c r="V400" s="30">
        <v>222582.01699999996</v>
      </c>
      <c r="W400" s="30">
        <v>127544.44200000001</v>
      </c>
      <c r="X400" s="30">
        <v>79058.746999999988</v>
      </c>
      <c r="Y400" s="30">
        <v>28516.637999999995</v>
      </c>
      <c r="Z400" s="31">
        <v>2655575</v>
      </c>
      <c r="AA400" s="32">
        <f t="shared" si="28"/>
        <v>4.5065737332265169E-4</v>
      </c>
      <c r="AB400" s="32">
        <f t="shared" si="28"/>
        <v>1.5523859628914556E-4</v>
      </c>
      <c r="AC400" s="32">
        <f t="shared" si="28"/>
        <v>1.0720273345887116E-4</v>
      </c>
      <c r="AD400" s="32">
        <f t="shared" si="28"/>
        <v>1.0118493393419174E-4</v>
      </c>
      <c r="AE400" s="32">
        <f t="shared" si="28"/>
        <v>1.6607756812002828E-4</v>
      </c>
      <c r="AF400" s="32">
        <f t="shared" si="27"/>
        <v>2.2960218895140091E-4</v>
      </c>
      <c r="AG400" s="32">
        <f t="shared" si="27"/>
        <v>2.2014357071802439E-4</v>
      </c>
      <c r="AH400" s="32">
        <f t="shared" si="27"/>
        <v>3.2145657903305574E-4</v>
      </c>
      <c r="AI400" s="32">
        <f t="shared" si="27"/>
        <v>1.0877986720432087E-3</v>
      </c>
      <c r="AJ400" s="32">
        <f t="shared" si="27"/>
        <v>5.5055578431089961E-3</v>
      </c>
      <c r="AK400" s="33">
        <f t="shared" si="30"/>
        <v>2.9259199984937347E-4</v>
      </c>
    </row>
    <row r="401" spans="1:37" x14ac:dyDescent="0.3">
      <c r="A401" t="s">
        <v>83</v>
      </c>
      <c r="B401" s="1">
        <v>2011</v>
      </c>
      <c r="C401" s="1" t="str">
        <f t="shared" si="29"/>
        <v>Utah, 2011</v>
      </c>
      <c r="D401" s="27">
        <v>97</v>
      </c>
      <c r="E401" s="27">
        <v>45</v>
      </c>
      <c r="F401" s="27">
        <v>45</v>
      </c>
      <c r="G401" s="27">
        <v>52</v>
      </c>
      <c r="H401" s="27">
        <v>57</v>
      </c>
      <c r="I401" s="27">
        <v>65</v>
      </c>
      <c r="J401" s="27">
        <v>62</v>
      </c>
      <c r="K401" s="27">
        <v>46</v>
      </c>
      <c r="L401" s="27">
        <v>82</v>
      </c>
      <c r="M401" s="27">
        <v>161</v>
      </c>
      <c r="N401" s="27">
        <v>69</v>
      </c>
      <c r="O401" s="28">
        <v>781</v>
      </c>
      <c r="P401" s="29">
        <v>249335.91699999999</v>
      </c>
      <c r="Q401" s="30">
        <v>446797.87199999997</v>
      </c>
      <c r="R401" s="30">
        <v>438909.53700000007</v>
      </c>
      <c r="S401" s="30">
        <v>422653.603</v>
      </c>
      <c r="T401" s="30">
        <v>317175.48499999999</v>
      </c>
      <c r="U401" s="30">
        <v>295314.81200000003</v>
      </c>
      <c r="V401" s="30">
        <v>226046.921</v>
      </c>
      <c r="W401" s="30">
        <v>131281.76400000002</v>
      </c>
      <c r="X401" s="30">
        <v>78622.376999999993</v>
      </c>
      <c r="Y401" s="30">
        <v>29556.431999999993</v>
      </c>
      <c r="Z401" s="31">
        <v>2633633</v>
      </c>
      <c r="AA401" s="32">
        <f t="shared" si="28"/>
        <v>3.8903340187446806E-4</v>
      </c>
      <c r="AB401" s="32">
        <f t="shared" si="28"/>
        <v>1.0071668380730337E-4</v>
      </c>
      <c r="AC401" s="32">
        <f t="shared" si="28"/>
        <v>1.0252682205900664E-4</v>
      </c>
      <c r="AD401" s="32">
        <f t="shared" si="28"/>
        <v>1.2303219381286097E-4</v>
      </c>
      <c r="AE401" s="32">
        <f t="shared" si="28"/>
        <v>1.7971124092393208E-4</v>
      </c>
      <c r="AF401" s="32">
        <f t="shared" si="27"/>
        <v>2.2010409691200993E-4</v>
      </c>
      <c r="AG401" s="32">
        <f t="shared" si="27"/>
        <v>2.7427933866880675E-4</v>
      </c>
      <c r="AH401" s="32">
        <f t="shared" si="27"/>
        <v>3.5039139175491266E-4</v>
      </c>
      <c r="AI401" s="32">
        <f t="shared" si="27"/>
        <v>1.0429600722959573E-3</v>
      </c>
      <c r="AJ401" s="32">
        <f t="shared" si="27"/>
        <v>5.4472068888423352E-3</v>
      </c>
      <c r="AK401" s="33">
        <f t="shared" si="30"/>
        <v>2.9654853200882582E-4</v>
      </c>
    </row>
    <row r="402" spans="1:37" x14ac:dyDescent="0.3">
      <c r="A402" t="s">
        <v>83</v>
      </c>
      <c r="B402" s="1">
        <v>2012</v>
      </c>
      <c r="C402" s="1" t="str">
        <f t="shared" si="29"/>
        <v>Utah, 2012</v>
      </c>
      <c r="D402" s="27">
        <v>98</v>
      </c>
      <c r="E402" s="27">
        <v>61</v>
      </c>
      <c r="F402" s="27">
        <v>47</v>
      </c>
      <c r="G402" s="27">
        <v>62</v>
      </c>
      <c r="H402" s="27">
        <v>56</v>
      </c>
      <c r="I402" s="27">
        <v>56</v>
      </c>
      <c r="J402" s="27">
        <v>60</v>
      </c>
      <c r="K402" s="27">
        <v>70</v>
      </c>
      <c r="L402" s="27">
        <v>93</v>
      </c>
      <c r="M402" s="27">
        <v>145</v>
      </c>
      <c r="N402" s="27">
        <v>50</v>
      </c>
      <c r="O402" s="28">
        <v>798</v>
      </c>
      <c r="P402" s="29">
        <v>258676.18900000001</v>
      </c>
      <c r="Q402" s="30">
        <v>472913.745</v>
      </c>
      <c r="R402" s="30">
        <v>448317.48599999998</v>
      </c>
      <c r="S402" s="30">
        <v>439177.80099999992</v>
      </c>
      <c r="T402" s="30">
        <v>333393.71299999999</v>
      </c>
      <c r="U402" s="30">
        <v>303323.64299999998</v>
      </c>
      <c r="V402" s="30">
        <v>238805.54800000001</v>
      </c>
      <c r="W402" s="30">
        <v>137414.182</v>
      </c>
      <c r="X402" s="30">
        <v>81495.808000000005</v>
      </c>
      <c r="Y402" s="30">
        <v>30229.235000000004</v>
      </c>
      <c r="Z402" s="31">
        <v>2745765</v>
      </c>
      <c r="AA402" s="32">
        <f t="shared" si="28"/>
        <v>3.7885203264688579E-4</v>
      </c>
      <c r="AB402" s="32">
        <f t="shared" si="28"/>
        <v>1.2898758102283537E-4</v>
      </c>
      <c r="AC402" s="32">
        <f t="shared" si="28"/>
        <v>1.0483641942977884E-4</v>
      </c>
      <c r="AD402" s="32">
        <f t="shared" si="28"/>
        <v>1.4117289138664823E-4</v>
      </c>
      <c r="AE402" s="32">
        <f t="shared" si="28"/>
        <v>1.6796957415930635E-4</v>
      </c>
      <c r="AF402" s="32">
        <f t="shared" si="27"/>
        <v>1.8462128255528041E-4</v>
      </c>
      <c r="AG402" s="32">
        <f t="shared" si="27"/>
        <v>2.5125044414797264E-4</v>
      </c>
      <c r="AH402" s="32">
        <f t="shared" si="27"/>
        <v>5.0940884689762227E-4</v>
      </c>
      <c r="AI402" s="32">
        <f t="shared" si="27"/>
        <v>1.1411629908620576E-3</v>
      </c>
      <c r="AJ402" s="32">
        <f t="shared" si="27"/>
        <v>4.7966810936499052E-3</v>
      </c>
      <c r="AK402" s="33">
        <f t="shared" si="30"/>
        <v>2.9062938743847343E-4</v>
      </c>
    </row>
    <row r="403" spans="1:37" x14ac:dyDescent="0.3">
      <c r="A403" t="s">
        <v>83</v>
      </c>
      <c r="B403" s="1">
        <v>2013</v>
      </c>
      <c r="C403" s="1" t="str">
        <f t="shared" si="29"/>
        <v>Utah, 2013</v>
      </c>
      <c r="D403" s="27">
        <v>107</v>
      </c>
      <c r="E403" s="27">
        <v>68</v>
      </c>
      <c r="F403" s="27">
        <v>62</v>
      </c>
      <c r="G403" s="27">
        <v>49</v>
      </c>
      <c r="H403" s="27">
        <v>59</v>
      </c>
      <c r="I403" s="27">
        <v>64</v>
      </c>
      <c r="J403" s="27">
        <v>49</v>
      </c>
      <c r="K403" s="27">
        <v>54</v>
      </c>
      <c r="L403" s="27">
        <v>101</v>
      </c>
      <c r="M403" s="27">
        <v>173</v>
      </c>
      <c r="N403" s="27">
        <v>62</v>
      </c>
      <c r="O403" s="28">
        <v>848</v>
      </c>
      <c r="P403" s="29">
        <v>247751.66700000002</v>
      </c>
      <c r="Q403" s="30">
        <v>468399.223</v>
      </c>
      <c r="R403" s="30">
        <v>432325.00199999998</v>
      </c>
      <c r="S403" s="30">
        <v>429553.62900000007</v>
      </c>
      <c r="T403" s="30">
        <v>342477.78300000005</v>
      </c>
      <c r="U403" s="30">
        <v>305147.516</v>
      </c>
      <c r="V403" s="30">
        <v>253465.54499999998</v>
      </c>
      <c r="W403" s="30">
        <v>150291.51699999999</v>
      </c>
      <c r="X403" s="30">
        <v>86194.614999999991</v>
      </c>
      <c r="Y403" s="30">
        <v>32872.256999999998</v>
      </c>
      <c r="Z403" s="31">
        <v>2748236</v>
      </c>
      <c r="AA403" s="32">
        <f t="shared" si="28"/>
        <v>4.3188407688897604E-4</v>
      </c>
      <c r="AB403" s="32">
        <f t="shared" si="28"/>
        <v>1.4517530487022178E-4</v>
      </c>
      <c r="AC403" s="32">
        <f t="shared" si="28"/>
        <v>1.4341062791459839E-4</v>
      </c>
      <c r="AD403" s="32">
        <f t="shared" si="28"/>
        <v>1.1407190323143561E-4</v>
      </c>
      <c r="AE403" s="32">
        <f t="shared" si="28"/>
        <v>1.722739486432613E-4</v>
      </c>
      <c r="AF403" s="32">
        <f t="shared" si="27"/>
        <v>2.0973462553108247E-4</v>
      </c>
      <c r="AG403" s="32">
        <f t="shared" si="27"/>
        <v>1.9332016112880352E-4</v>
      </c>
      <c r="AH403" s="32">
        <f t="shared" si="27"/>
        <v>3.5930171627717355E-4</v>
      </c>
      <c r="AI403" s="32">
        <f t="shared" si="27"/>
        <v>1.1717669369484395E-3</v>
      </c>
      <c r="AJ403" s="32">
        <f t="shared" si="27"/>
        <v>5.262796527783292E-3</v>
      </c>
      <c r="AK403" s="33">
        <f t="shared" si="30"/>
        <v>3.085615645817899E-4</v>
      </c>
    </row>
    <row r="404" spans="1:37" x14ac:dyDescent="0.3">
      <c r="A404" t="s">
        <v>83</v>
      </c>
      <c r="B404" s="1">
        <v>2014</v>
      </c>
      <c r="C404" s="1" t="str">
        <f t="shared" si="29"/>
        <v>Utah, 2014</v>
      </c>
      <c r="D404" s="27">
        <v>127</v>
      </c>
      <c r="E404" s="27">
        <v>48</v>
      </c>
      <c r="F404" s="27">
        <v>58</v>
      </c>
      <c r="G404" s="27">
        <v>48</v>
      </c>
      <c r="H404" s="27">
        <v>54</v>
      </c>
      <c r="I404" s="27">
        <v>66</v>
      </c>
      <c r="J404" s="27">
        <v>46</v>
      </c>
      <c r="K404" s="27">
        <v>58</v>
      </c>
      <c r="L404" s="27">
        <v>86</v>
      </c>
      <c r="M404" s="27">
        <v>145</v>
      </c>
      <c r="N404" s="27">
        <v>57</v>
      </c>
      <c r="O404" s="28">
        <v>793</v>
      </c>
      <c r="P404" s="29">
        <v>248634.42600000004</v>
      </c>
      <c r="Q404" s="30">
        <v>479586.41300000006</v>
      </c>
      <c r="R404" s="30">
        <v>443330.42200000002</v>
      </c>
      <c r="S404" s="30">
        <v>430851.95499999984</v>
      </c>
      <c r="T404" s="30">
        <v>350307.01099999994</v>
      </c>
      <c r="U404" s="30">
        <v>298670.65500000003</v>
      </c>
      <c r="V404" s="30">
        <v>254067.89499999999</v>
      </c>
      <c r="W404" s="30">
        <v>151387.04700000002</v>
      </c>
      <c r="X404" s="30">
        <v>82776.058000000005</v>
      </c>
      <c r="Y404" s="30">
        <v>31861.641</v>
      </c>
      <c r="Z404" s="31">
        <v>2773626</v>
      </c>
      <c r="AA404" s="32">
        <f t="shared" si="28"/>
        <v>5.1079008664713218E-4</v>
      </c>
      <c r="AB404" s="32">
        <f t="shared" si="28"/>
        <v>1.0008623826463573E-4</v>
      </c>
      <c r="AC404" s="32">
        <f t="shared" si="28"/>
        <v>1.3082792680534791E-4</v>
      </c>
      <c r="AD404" s="32">
        <f t="shared" si="28"/>
        <v>1.1140717697335276E-4</v>
      </c>
      <c r="AE404" s="32">
        <f t="shared" si="28"/>
        <v>1.541504974332358E-4</v>
      </c>
      <c r="AF404" s="32">
        <f t="shared" si="27"/>
        <v>2.2097919194639324E-4</v>
      </c>
      <c r="AG404" s="32">
        <f t="shared" si="27"/>
        <v>1.8105396590938812E-4</v>
      </c>
      <c r="AH404" s="32">
        <f t="shared" si="27"/>
        <v>3.8312392737272952E-4</v>
      </c>
      <c r="AI404" s="32">
        <f t="shared" si="27"/>
        <v>1.0389477595079484E-3</v>
      </c>
      <c r="AJ404" s="32">
        <f t="shared" si="27"/>
        <v>4.5509269280888578E-3</v>
      </c>
      <c r="AK404" s="33">
        <f t="shared" si="30"/>
        <v>2.8590732852951334E-4</v>
      </c>
    </row>
    <row r="405" spans="1:37" x14ac:dyDescent="0.3">
      <c r="A405" t="s">
        <v>83</v>
      </c>
      <c r="B405" s="1">
        <v>2015</v>
      </c>
      <c r="C405" s="1" t="str">
        <f t="shared" si="29"/>
        <v>Utah, 2015</v>
      </c>
      <c r="D405" s="27">
        <v>105</v>
      </c>
      <c r="E405" s="27">
        <v>53</v>
      </c>
      <c r="F405" s="27">
        <v>52</v>
      </c>
      <c r="G405" s="27">
        <v>59</v>
      </c>
      <c r="H405" s="27">
        <v>43</v>
      </c>
      <c r="I405" s="27">
        <v>43</v>
      </c>
      <c r="J405" s="27">
        <v>62</v>
      </c>
      <c r="K405" s="27">
        <v>49</v>
      </c>
      <c r="L405" s="27">
        <v>83</v>
      </c>
      <c r="M405" s="27">
        <v>155</v>
      </c>
      <c r="N405" s="27">
        <v>59</v>
      </c>
      <c r="O405" s="28">
        <v>763</v>
      </c>
      <c r="P405" s="29">
        <v>248984.99399999998</v>
      </c>
      <c r="Q405" s="30">
        <v>487392.92599999998</v>
      </c>
      <c r="R405" s="30">
        <v>456590.68099999992</v>
      </c>
      <c r="S405" s="30">
        <v>433053.93100000004</v>
      </c>
      <c r="T405" s="30">
        <v>363997.223</v>
      </c>
      <c r="U405" s="30">
        <v>300073.18699999998</v>
      </c>
      <c r="V405" s="30">
        <v>264347.90499999997</v>
      </c>
      <c r="W405" s="30">
        <v>158927.23900000003</v>
      </c>
      <c r="X405" s="30">
        <v>86183.376999999993</v>
      </c>
      <c r="Y405" s="30">
        <v>32915.345999999998</v>
      </c>
      <c r="Z405" s="31">
        <v>2831391</v>
      </c>
      <c r="AA405" s="32">
        <f t="shared" si="28"/>
        <v>4.2171216149676879E-4</v>
      </c>
      <c r="AB405" s="32">
        <f t="shared" si="28"/>
        <v>1.0874183266254464E-4</v>
      </c>
      <c r="AC405" s="32">
        <f t="shared" si="28"/>
        <v>1.1388756311476276E-4</v>
      </c>
      <c r="AD405" s="32">
        <f t="shared" si="28"/>
        <v>1.3624169133797794E-4</v>
      </c>
      <c r="AE405" s="32">
        <f t="shared" si="28"/>
        <v>1.1813276938104553E-4</v>
      </c>
      <c r="AF405" s="32">
        <f t="shared" si="27"/>
        <v>1.4329837473949313E-4</v>
      </c>
      <c r="AG405" s="32">
        <f t="shared" si="27"/>
        <v>2.345394036695695E-4</v>
      </c>
      <c r="AH405" s="32">
        <f t="shared" si="27"/>
        <v>3.0831719161747971E-4</v>
      </c>
      <c r="AI405" s="32">
        <f t="shared" si="27"/>
        <v>9.6306274932809847E-4</v>
      </c>
      <c r="AJ405" s="32">
        <f t="shared" si="27"/>
        <v>4.7090496937203701E-3</v>
      </c>
      <c r="AK405" s="33">
        <f t="shared" si="30"/>
        <v>2.6947885332686303E-4</v>
      </c>
    </row>
    <row r="406" spans="1:37" x14ac:dyDescent="0.3">
      <c r="A406" t="s">
        <v>83</v>
      </c>
      <c r="B406" s="1">
        <v>2016</v>
      </c>
      <c r="C406" s="1" t="str">
        <f t="shared" si="29"/>
        <v>Utah, 2016</v>
      </c>
      <c r="D406" s="27">
        <v>117</v>
      </c>
      <c r="E406" s="27">
        <v>60</v>
      </c>
      <c r="F406" s="27">
        <v>48</v>
      </c>
      <c r="G406" s="27">
        <v>52</v>
      </c>
      <c r="H406" s="27">
        <v>59</v>
      </c>
      <c r="I406" s="27">
        <v>54</v>
      </c>
      <c r="J406" s="27">
        <v>53</v>
      </c>
      <c r="K406" s="27">
        <v>50</v>
      </c>
      <c r="L406" s="27">
        <v>83</v>
      </c>
      <c r="M406" s="27">
        <v>156</v>
      </c>
      <c r="N406" s="27">
        <v>49</v>
      </c>
      <c r="O406" s="28">
        <v>781</v>
      </c>
      <c r="P406" s="29">
        <v>247109.09099999999</v>
      </c>
      <c r="Q406" s="30">
        <v>494173.74599999998</v>
      </c>
      <c r="R406" s="30">
        <v>464205.64800000004</v>
      </c>
      <c r="S406" s="30">
        <v>432217.13099999994</v>
      </c>
      <c r="T406" s="30">
        <v>376244.478</v>
      </c>
      <c r="U406" s="30">
        <v>300822.37200000003</v>
      </c>
      <c r="V406" s="30">
        <v>271330.05500000005</v>
      </c>
      <c r="W406" s="30">
        <v>169074.08199999997</v>
      </c>
      <c r="X406" s="30">
        <v>88032.417000000016</v>
      </c>
      <c r="Y406" s="30">
        <v>33245.294999999998</v>
      </c>
      <c r="Z406" s="31">
        <v>2875876</v>
      </c>
      <c r="AA406" s="32">
        <f t="shared" si="28"/>
        <v>4.7347509363789453E-4</v>
      </c>
      <c r="AB406" s="32">
        <f t="shared" si="28"/>
        <v>1.2141478677420472E-4</v>
      </c>
      <c r="AC406" s="32">
        <f t="shared" si="28"/>
        <v>1.0340244718435652E-4</v>
      </c>
      <c r="AD406" s="32">
        <f t="shared" si="28"/>
        <v>1.2030990044214607E-4</v>
      </c>
      <c r="AE406" s="32">
        <f t="shared" si="28"/>
        <v>1.5681293268043656E-4</v>
      </c>
      <c r="AF406" s="32">
        <f t="shared" si="27"/>
        <v>1.7950792569377118E-4</v>
      </c>
      <c r="AG406" s="32">
        <f t="shared" si="27"/>
        <v>1.9533405541822483E-4</v>
      </c>
      <c r="AH406" s="32">
        <f t="shared" si="27"/>
        <v>2.957283541542459E-4</v>
      </c>
      <c r="AI406" s="32">
        <f t="shared" si="27"/>
        <v>9.4283450152231969E-4</v>
      </c>
      <c r="AJ406" s="32">
        <f t="shared" si="27"/>
        <v>4.6923933146028633E-3</v>
      </c>
      <c r="AK406" s="33">
        <f t="shared" si="30"/>
        <v>2.7156942788910228E-4</v>
      </c>
    </row>
    <row r="407" spans="1:37" x14ac:dyDescent="0.3">
      <c r="A407" t="s">
        <v>83</v>
      </c>
      <c r="B407" s="1">
        <v>2017</v>
      </c>
      <c r="C407" s="1" t="str">
        <f t="shared" si="29"/>
        <v>Utah, 2017</v>
      </c>
      <c r="D407" s="27">
        <v>109</v>
      </c>
      <c r="E407" s="27">
        <v>53</v>
      </c>
      <c r="F407" s="27">
        <v>42</v>
      </c>
      <c r="G407" s="27">
        <v>51</v>
      </c>
      <c r="H407" s="27">
        <v>61</v>
      </c>
      <c r="I407" s="27">
        <v>58</v>
      </c>
      <c r="J407" s="27">
        <v>50</v>
      </c>
      <c r="K407" s="27">
        <v>51</v>
      </c>
      <c r="L407" s="27">
        <v>99</v>
      </c>
      <c r="M407" s="27">
        <v>103</v>
      </c>
      <c r="N407" s="27">
        <v>48</v>
      </c>
      <c r="O407" s="28">
        <v>725</v>
      </c>
      <c r="P407" s="29">
        <v>242911</v>
      </c>
      <c r="Q407" s="30">
        <v>488497</v>
      </c>
      <c r="R407" s="30">
        <v>465778</v>
      </c>
      <c r="S407" s="30">
        <v>430138</v>
      </c>
      <c r="T407" s="30">
        <v>382088</v>
      </c>
      <c r="U407" s="30">
        <v>298078</v>
      </c>
      <c r="V407" s="30">
        <v>274231</v>
      </c>
      <c r="W407" s="30">
        <v>177765</v>
      </c>
      <c r="X407" s="30">
        <v>89950</v>
      </c>
      <c r="Y407" s="30">
        <v>34299</v>
      </c>
      <c r="Z407" s="31">
        <v>2883735</v>
      </c>
      <c r="AA407" s="32">
        <f t="shared" si="28"/>
        <v>4.4872401826183254E-4</v>
      </c>
      <c r="AB407" s="32">
        <f t="shared" si="28"/>
        <v>1.0849606036475147E-4</v>
      </c>
      <c r="AC407" s="32">
        <f t="shared" si="28"/>
        <v>9.0171712704335545E-5</v>
      </c>
      <c r="AD407" s="32">
        <f t="shared" si="28"/>
        <v>1.1856659955642143E-4</v>
      </c>
      <c r="AE407" s="32">
        <f t="shared" si="28"/>
        <v>1.5964908607441218E-4</v>
      </c>
      <c r="AF407" s="32">
        <f t="shared" si="27"/>
        <v>1.9457994216278961E-4</v>
      </c>
      <c r="AG407" s="32">
        <f t="shared" si="27"/>
        <v>1.8232803731160955E-4</v>
      </c>
      <c r="AH407" s="32">
        <f t="shared" si="27"/>
        <v>2.8689562062273225E-4</v>
      </c>
      <c r="AI407" s="32">
        <f t="shared" si="27"/>
        <v>1.1006114508060032E-3</v>
      </c>
      <c r="AJ407" s="32">
        <f t="shared" si="27"/>
        <v>3.003003003003003E-3</v>
      </c>
      <c r="AK407" s="33">
        <f t="shared" si="30"/>
        <v>2.5141006368476995E-4</v>
      </c>
    </row>
    <row r="408" spans="1:37" x14ac:dyDescent="0.3">
      <c r="A408" t="s">
        <v>84</v>
      </c>
      <c r="B408" s="1">
        <v>2009</v>
      </c>
      <c r="C408" s="1" t="str">
        <f t="shared" si="29"/>
        <v>Vermont, 2009</v>
      </c>
      <c r="D408" s="27">
        <v>92</v>
      </c>
      <c r="E408" s="27">
        <v>55</v>
      </c>
      <c r="F408" s="27">
        <v>39</v>
      </c>
      <c r="G408" s="27">
        <v>52</v>
      </c>
      <c r="H408" s="27">
        <v>56</v>
      </c>
      <c r="I408" s="27">
        <v>42</v>
      </c>
      <c r="J408" s="27">
        <v>47</v>
      </c>
      <c r="K408" s="27">
        <v>43</v>
      </c>
      <c r="L408" s="27">
        <v>59</v>
      </c>
      <c r="M408" s="27">
        <v>55</v>
      </c>
      <c r="N408" s="27">
        <v>76</v>
      </c>
      <c r="O408" s="28">
        <v>616</v>
      </c>
      <c r="P408" s="29">
        <v>32510.932000000001</v>
      </c>
      <c r="Q408" s="30">
        <v>72258.352000000014</v>
      </c>
      <c r="R408" s="30">
        <v>94733.088999999993</v>
      </c>
      <c r="S408" s="30">
        <v>67506.609000000011</v>
      </c>
      <c r="T408" s="30">
        <v>85457.424000000014</v>
      </c>
      <c r="U408" s="30">
        <v>102428.065</v>
      </c>
      <c r="V408" s="30">
        <v>80435.02900000001</v>
      </c>
      <c r="W408" s="30">
        <v>44563.913</v>
      </c>
      <c r="X408" s="30">
        <v>30203.242999999999</v>
      </c>
      <c r="Y408" s="30">
        <v>10728.603000000001</v>
      </c>
      <c r="Z408" s="31">
        <v>620414</v>
      </c>
      <c r="AA408" s="32">
        <f t="shared" si="28"/>
        <v>2.8298173672781819E-3</v>
      </c>
      <c r="AB408" s="32">
        <f t="shared" si="28"/>
        <v>7.6115768596549214E-4</v>
      </c>
      <c r="AC408" s="32">
        <f t="shared" si="28"/>
        <v>4.1168297594518428E-4</v>
      </c>
      <c r="AD408" s="32">
        <f t="shared" si="28"/>
        <v>7.7029494993593876E-4</v>
      </c>
      <c r="AE408" s="32">
        <f t="shared" si="28"/>
        <v>6.5529707518448006E-4</v>
      </c>
      <c r="AF408" s="32">
        <f t="shared" si="27"/>
        <v>4.1004386834799623E-4</v>
      </c>
      <c r="AG408" s="32">
        <f t="shared" si="27"/>
        <v>5.8432253440226882E-4</v>
      </c>
      <c r="AH408" s="32">
        <f t="shared" si="27"/>
        <v>9.6490629088159287E-4</v>
      </c>
      <c r="AI408" s="32">
        <f t="shared" si="27"/>
        <v>1.953432616490885E-3</v>
      </c>
      <c r="AJ408" s="32">
        <f t="shared" si="27"/>
        <v>5.1264829167413494E-3</v>
      </c>
      <c r="AK408" s="33">
        <f t="shared" si="30"/>
        <v>9.928853958808151E-4</v>
      </c>
    </row>
    <row r="409" spans="1:37" x14ac:dyDescent="0.3">
      <c r="A409" t="s">
        <v>84</v>
      </c>
      <c r="B409" s="1">
        <v>2010</v>
      </c>
      <c r="C409" s="1" t="str">
        <f t="shared" si="29"/>
        <v>Vermont, 2010</v>
      </c>
      <c r="D409" s="27">
        <v>74</v>
      </c>
      <c r="E409" s="27">
        <v>65</v>
      </c>
      <c r="F409" s="27">
        <v>54</v>
      </c>
      <c r="G409" s="27">
        <v>47</v>
      </c>
      <c r="H409" s="27">
        <v>66</v>
      </c>
      <c r="I409" s="27">
        <v>68</v>
      </c>
      <c r="J409" s="27">
        <v>47</v>
      </c>
      <c r="K409" s="27">
        <v>46</v>
      </c>
      <c r="L409" s="27">
        <v>44</v>
      </c>
      <c r="M409" s="27">
        <v>38</v>
      </c>
      <c r="N409" s="27">
        <v>52</v>
      </c>
      <c r="O409" s="28">
        <v>601</v>
      </c>
      <c r="P409" s="29">
        <v>29364.756000000001</v>
      </c>
      <c r="Q409" s="30">
        <v>67666.705000000002</v>
      </c>
      <c r="R409" s="30">
        <v>84956.448999999993</v>
      </c>
      <c r="S409" s="30">
        <v>62465.757000000005</v>
      </c>
      <c r="T409" s="30">
        <v>76908.089999999982</v>
      </c>
      <c r="U409" s="30">
        <v>94816.569000000003</v>
      </c>
      <c r="V409" s="30">
        <v>77049.417000000001</v>
      </c>
      <c r="W409" s="30">
        <v>42024.949000000008</v>
      </c>
      <c r="X409" s="30">
        <v>27466.205000000002</v>
      </c>
      <c r="Y409" s="30">
        <v>10509.152</v>
      </c>
      <c r="Z409" s="31">
        <v>572962</v>
      </c>
      <c r="AA409" s="32">
        <f t="shared" si="28"/>
        <v>2.5200277502731507E-3</v>
      </c>
      <c r="AB409" s="32">
        <f t="shared" si="28"/>
        <v>9.6059058882799156E-4</v>
      </c>
      <c r="AC409" s="32">
        <f t="shared" si="28"/>
        <v>6.356197867921717E-4</v>
      </c>
      <c r="AD409" s="32">
        <f t="shared" si="28"/>
        <v>7.5241223763605389E-4</v>
      </c>
      <c r="AE409" s="32">
        <f t="shared" si="28"/>
        <v>8.5816719671493618E-4</v>
      </c>
      <c r="AF409" s="32">
        <f t="shared" si="27"/>
        <v>7.1717423143627986E-4</v>
      </c>
      <c r="AG409" s="32">
        <f t="shared" si="27"/>
        <v>6.0999812626745769E-4</v>
      </c>
      <c r="AH409" s="32">
        <f t="shared" si="27"/>
        <v>1.0945878839733986E-3</v>
      </c>
      <c r="AI409" s="32">
        <f t="shared" si="27"/>
        <v>1.6019686738666663E-3</v>
      </c>
      <c r="AJ409" s="32">
        <f t="shared" si="27"/>
        <v>3.6158959352762241E-3</v>
      </c>
      <c r="AK409" s="33">
        <f t="shared" si="30"/>
        <v>1.0489351824379278E-3</v>
      </c>
    </row>
    <row r="410" spans="1:37" x14ac:dyDescent="0.3">
      <c r="A410" t="s">
        <v>84</v>
      </c>
      <c r="B410" s="1">
        <v>2011</v>
      </c>
      <c r="C410" s="1" t="str">
        <f t="shared" si="29"/>
        <v>Vermont, 2011</v>
      </c>
      <c r="D410" s="27">
        <v>131</v>
      </c>
      <c r="E410" s="27">
        <v>66</v>
      </c>
      <c r="F410" s="27">
        <v>48</v>
      </c>
      <c r="G410" s="27">
        <v>43</v>
      </c>
      <c r="H410" s="27">
        <v>54</v>
      </c>
      <c r="I410" s="27">
        <v>58</v>
      </c>
      <c r="J410" s="27">
        <v>62</v>
      </c>
      <c r="K410" s="27">
        <v>42</v>
      </c>
      <c r="L410" s="27">
        <v>35</v>
      </c>
      <c r="M410" s="27">
        <v>68</v>
      </c>
      <c r="N410" s="27">
        <v>57</v>
      </c>
      <c r="O410" s="28">
        <v>664</v>
      </c>
      <c r="P410" s="29">
        <v>32146.583999999999</v>
      </c>
      <c r="Q410" s="30">
        <v>72748.697999999989</v>
      </c>
      <c r="R410" s="30">
        <v>90985.69200000001</v>
      </c>
      <c r="S410" s="30">
        <v>70047.39</v>
      </c>
      <c r="T410" s="30">
        <v>81298.244000000006</v>
      </c>
      <c r="U410" s="30">
        <v>101892.81700000001</v>
      </c>
      <c r="V410" s="30">
        <v>86705.917999999991</v>
      </c>
      <c r="W410" s="30">
        <v>47718.34399999999</v>
      </c>
      <c r="X410" s="30">
        <v>29624.55</v>
      </c>
      <c r="Y410" s="30">
        <v>11571.811999999998</v>
      </c>
      <c r="Z410" s="31">
        <v>624920</v>
      </c>
      <c r="AA410" s="32">
        <f t="shared" si="28"/>
        <v>4.0750830632579815E-3</v>
      </c>
      <c r="AB410" s="32">
        <f t="shared" si="28"/>
        <v>9.0723273150538047E-4</v>
      </c>
      <c r="AC410" s="32">
        <f t="shared" si="28"/>
        <v>5.2755547542574052E-4</v>
      </c>
      <c r="AD410" s="32">
        <f t="shared" si="28"/>
        <v>6.1387012421162306E-4</v>
      </c>
      <c r="AE410" s="32">
        <f t="shared" si="28"/>
        <v>6.6422098858617406E-4</v>
      </c>
      <c r="AF410" s="32">
        <f t="shared" si="27"/>
        <v>5.6922560105488102E-4</v>
      </c>
      <c r="AG410" s="32">
        <f t="shared" si="27"/>
        <v>7.1506076436443481E-4</v>
      </c>
      <c r="AH410" s="32">
        <f t="shared" si="27"/>
        <v>8.8016465952800058E-4</v>
      </c>
      <c r="AI410" s="32">
        <f t="shared" si="27"/>
        <v>1.18145254527073E-3</v>
      </c>
      <c r="AJ410" s="32">
        <f t="shared" si="27"/>
        <v>5.8763484923536622E-3</v>
      </c>
      <c r="AK410" s="33">
        <f t="shared" si="30"/>
        <v>1.06253600460859E-3</v>
      </c>
    </row>
    <row r="411" spans="1:37" x14ac:dyDescent="0.3">
      <c r="A411" t="s">
        <v>84</v>
      </c>
      <c r="B411" s="1">
        <v>2012</v>
      </c>
      <c r="C411" s="1" t="str">
        <f t="shared" si="29"/>
        <v>Vermont, 2012</v>
      </c>
      <c r="D411" s="27">
        <v>106</v>
      </c>
      <c r="E411" s="27">
        <v>43</v>
      </c>
      <c r="F411" s="27">
        <v>64</v>
      </c>
      <c r="G411" s="27">
        <v>32</v>
      </c>
      <c r="H411" s="27">
        <v>69</v>
      </c>
      <c r="I411" s="27">
        <v>67</v>
      </c>
      <c r="J411" s="27">
        <v>35</v>
      </c>
      <c r="K411" s="27">
        <v>59</v>
      </c>
      <c r="L411" s="27">
        <v>58</v>
      </c>
      <c r="M411" s="27">
        <v>55</v>
      </c>
      <c r="N411" s="27">
        <v>48</v>
      </c>
      <c r="O411" s="28">
        <v>636</v>
      </c>
      <c r="P411" s="29">
        <v>28549.197999999997</v>
      </c>
      <c r="Q411" s="30">
        <v>64689.276999999987</v>
      </c>
      <c r="R411" s="30">
        <v>82296.759999999995</v>
      </c>
      <c r="S411" s="30">
        <v>62121.659999999996</v>
      </c>
      <c r="T411" s="30">
        <v>69424.996000000014</v>
      </c>
      <c r="U411" s="30">
        <v>88869.540000000008</v>
      </c>
      <c r="V411" s="30">
        <v>79126.379000000015</v>
      </c>
      <c r="W411" s="30">
        <v>44342.414999999994</v>
      </c>
      <c r="X411" s="30">
        <v>26097.827000000005</v>
      </c>
      <c r="Y411" s="30">
        <v>11264.440999999999</v>
      </c>
      <c r="Z411" s="31">
        <v>556411</v>
      </c>
      <c r="AA411" s="32">
        <f t="shared" si="28"/>
        <v>3.7128888874566638E-3</v>
      </c>
      <c r="AB411" s="32">
        <f t="shared" si="28"/>
        <v>6.6471603941407485E-4</v>
      </c>
      <c r="AC411" s="32">
        <f t="shared" si="28"/>
        <v>7.7767338592673642E-4</v>
      </c>
      <c r="AD411" s="32">
        <f t="shared" si="28"/>
        <v>5.1511823734265959E-4</v>
      </c>
      <c r="AE411" s="32">
        <f t="shared" si="28"/>
        <v>9.9387834318348371E-4</v>
      </c>
      <c r="AF411" s="32">
        <f t="shared" si="27"/>
        <v>7.5391410825351407E-4</v>
      </c>
      <c r="AG411" s="32">
        <f t="shared" si="27"/>
        <v>4.423303636831403E-4</v>
      </c>
      <c r="AH411" s="32">
        <f t="shared" si="27"/>
        <v>1.3305545040792209E-3</v>
      </c>
      <c r="AI411" s="32">
        <f t="shared" si="27"/>
        <v>2.2224072525271928E-3</v>
      </c>
      <c r="AJ411" s="32">
        <f t="shared" si="27"/>
        <v>4.8826213391325859E-3</v>
      </c>
      <c r="AK411" s="33">
        <f t="shared" si="30"/>
        <v>1.1430399470894717E-3</v>
      </c>
    </row>
    <row r="412" spans="1:37" x14ac:dyDescent="0.3">
      <c r="A412" t="s">
        <v>84</v>
      </c>
      <c r="B412" s="1">
        <v>2013</v>
      </c>
      <c r="C412" s="1" t="str">
        <f t="shared" si="29"/>
        <v>Vermont, 2013</v>
      </c>
      <c r="D412" s="27">
        <v>127</v>
      </c>
      <c r="E412" s="27">
        <v>51</v>
      </c>
      <c r="F412" s="27">
        <v>35</v>
      </c>
      <c r="G412" s="27">
        <v>53</v>
      </c>
      <c r="H412" s="27">
        <v>58</v>
      </c>
      <c r="I412" s="27">
        <v>44</v>
      </c>
      <c r="J412" s="27">
        <v>79</v>
      </c>
      <c r="K412" s="27">
        <v>38</v>
      </c>
      <c r="L412" s="27">
        <v>58</v>
      </c>
      <c r="M412" s="27">
        <v>33</v>
      </c>
      <c r="N412" s="27">
        <v>44</v>
      </c>
      <c r="O412" s="28">
        <v>620</v>
      </c>
      <c r="P412" s="29">
        <v>26895.422000000006</v>
      </c>
      <c r="Q412" s="30">
        <v>60798.049999999996</v>
      </c>
      <c r="R412" s="30">
        <v>78155.958999999988</v>
      </c>
      <c r="S412" s="30">
        <v>60407.201999999997</v>
      </c>
      <c r="T412" s="30">
        <v>65656.742999999988</v>
      </c>
      <c r="U412" s="30">
        <v>84142.028999999995</v>
      </c>
      <c r="V412" s="30">
        <v>77386.771999999997</v>
      </c>
      <c r="W412" s="30">
        <v>44185.38</v>
      </c>
      <c r="X412" s="30">
        <v>24825.709999999995</v>
      </c>
      <c r="Y412" s="30">
        <v>10380.097000000002</v>
      </c>
      <c r="Z412" s="31">
        <v>532677</v>
      </c>
      <c r="AA412" s="32">
        <f t="shared" si="28"/>
        <v>4.7219932076172652E-3</v>
      </c>
      <c r="AB412" s="32">
        <f t="shared" si="28"/>
        <v>8.3884269314558619E-4</v>
      </c>
      <c r="AC412" s="32">
        <f t="shared" si="28"/>
        <v>4.4782253903377997E-4</v>
      </c>
      <c r="AD412" s="32">
        <f t="shared" si="28"/>
        <v>8.7737882645185254E-4</v>
      </c>
      <c r="AE412" s="32">
        <f t="shared" si="28"/>
        <v>8.8338222930126173E-4</v>
      </c>
      <c r="AF412" s="32">
        <f t="shared" si="27"/>
        <v>5.2292535042148798E-4</v>
      </c>
      <c r="AG412" s="32">
        <f t="shared" si="27"/>
        <v>1.0208463017426287E-3</v>
      </c>
      <c r="AH412" s="32">
        <f t="shared" si="27"/>
        <v>8.6001297261673439E-4</v>
      </c>
      <c r="AI412" s="32">
        <f t="shared" si="27"/>
        <v>2.3362876630718724E-3</v>
      </c>
      <c r="AJ412" s="32">
        <f t="shared" si="27"/>
        <v>3.179161042522049E-3</v>
      </c>
      <c r="AK412" s="33">
        <f t="shared" si="30"/>
        <v>1.1639323642657746E-3</v>
      </c>
    </row>
    <row r="413" spans="1:37" x14ac:dyDescent="0.3">
      <c r="A413" t="s">
        <v>84</v>
      </c>
      <c r="B413" s="1">
        <v>2014</v>
      </c>
      <c r="C413" s="1" t="str">
        <f t="shared" si="29"/>
        <v>Vermont, 2014</v>
      </c>
      <c r="D413" s="27">
        <v>107</v>
      </c>
      <c r="E413" s="27">
        <v>59</v>
      </c>
      <c r="F413" s="27">
        <v>71</v>
      </c>
      <c r="G413" s="27">
        <v>49</v>
      </c>
      <c r="H413" s="27">
        <v>55</v>
      </c>
      <c r="I413" s="27">
        <v>57</v>
      </c>
      <c r="J413" s="27">
        <v>48</v>
      </c>
      <c r="K413" s="27">
        <v>44</v>
      </c>
      <c r="L413" s="27">
        <v>72</v>
      </c>
      <c r="M413" s="27">
        <v>61</v>
      </c>
      <c r="N413" s="27">
        <v>54</v>
      </c>
      <c r="O413" s="28">
        <v>677</v>
      </c>
      <c r="P413" s="29">
        <v>25144.574999999997</v>
      </c>
      <c r="Q413" s="30">
        <v>57392.768000000004</v>
      </c>
      <c r="R413" s="30">
        <v>71469.736000000004</v>
      </c>
      <c r="S413" s="30">
        <v>58527.293999999994</v>
      </c>
      <c r="T413" s="30">
        <v>60721.827999999994</v>
      </c>
      <c r="U413" s="30">
        <v>77233.193999999989</v>
      </c>
      <c r="V413" s="30">
        <v>74698.02899999998</v>
      </c>
      <c r="W413" s="30">
        <v>43515.034000000007</v>
      </c>
      <c r="X413" s="30">
        <v>23429.133000000002</v>
      </c>
      <c r="Y413" s="30">
        <v>9906.7759999999998</v>
      </c>
      <c r="Z413" s="31">
        <v>501553</v>
      </c>
      <c r="AA413" s="32">
        <f t="shared" si="28"/>
        <v>4.2553910734223991E-3</v>
      </c>
      <c r="AB413" s="32">
        <f t="shared" si="28"/>
        <v>1.0280040858109509E-3</v>
      </c>
      <c r="AC413" s="32">
        <f t="shared" si="28"/>
        <v>9.9342748376739492E-4</v>
      </c>
      <c r="AD413" s="32">
        <f t="shared" si="28"/>
        <v>8.3721622257130156E-4</v>
      </c>
      <c r="AE413" s="32">
        <f t="shared" si="28"/>
        <v>9.0576983288447781E-4</v>
      </c>
      <c r="AF413" s="32">
        <f t="shared" si="27"/>
        <v>7.3802463743762828E-4</v>
      </c>
      <c r="AG413" s="32">
        <f t="shared" si="27"/>
        <v>6.4258723613711433E-4</v>
      </c>
      <c r="AH413" s="32">
        <f t="shared" si="27"/>
        <v>1.011144791935587E-3</v>
      </c>
      <c r="AI413" s="32">
        <f t="shared" si="27"/>
        <v>3.073097071069595E-3</v>
      </c>
      <c r="AJ413" s="32">
        <f t="shared" si="27"/>
        <v>6.1574017621878196E-3</v>
      </c>
      <c r="AK413" s="33">
        <f t="shared" si="30"/>
        <v>1.349807497911487E-3</v>
      </c>
    </row>
    <row r="414" spans="1:37" x14ac:dyDescent="0.3">
      <c r="A414" t="s">
        <v>84</v>
      </c>
      <c r="B414" s="1">
        <v>2015</v>
      </c>
      <c r="C414" s="1" t="str">
        <f t="shared" si="29"/>
        <v>Vermont, 2015</v>
      </c>
      <c r="D414" s="27">
        <v>104</v>
      </c>
      <c r="E414" s="27">
        <v>52</v>
      </c>
      <c r="F414" s="27">
        <v>32</v>
      </c>
      <c r="G414" s="27">
        <v>49</v>
      </c>
      <c r="H414" s="27">
        <v>59</v>
      </c>
      <c r="I414" s="27">
        <v>72</v>
      </c>
      <c r="J414" s="27">
        <v>46</v>
      </c>
      <c r="K414" s="27">
        <v>53</v>
      </c>
      <c r="L414" s="27">
        <v>59</v>
      </c>
      <c r="M414" s="27">
        <v>59</v>
      </c>
      <c r="N414" s="27">
        <v>56</v>
      </c>
      <c r="O414" s="28">
        <v>641</v>
      </c>
      <c r="P414" s="29">
        <v>30541.286</v>
      </c>
      <c r="Q414" s="30">
        <v>69659.87000000001</v>
      </c>
      <c r="R414" s="30">
        <v>89523.048999999999</v>
      </c>
      <c r="S414" s="30">
        <v>70507.982000000004</v>
      </c>
      <c r="T414" s="30">
        <v>72545.951000000001</v>
      </c>
      <c r="U414" s="30">
        <v>93308.469000000012</v>
      </c>
      <c r="V414" s="30">
        <v>93619.74000000002</v>
      </c>
      <c r="W414" s="30">
        <v>57916.829999999994</v>
      </c>
      <c r="X414" s="30">
        <v>29529.328000000001</v>
      </c>
      <c r="Y414" s="30">
        <v>12918.938</v>
      </c>
      <c r="Z414" s="31">
        <v>620040</v>
      </c>
      <c r="AA414" s="32">
        <f t="shared" si="28"/>
        <v>3.4052266168490743E-3</v>
      </c>
      <c r="AB414" s="32">
        <f t="shared" si="28"/>
        <v>7.4648431012001588E-4</v>
      </c>
      <c r="AC414" s="32">
        <f t="shared" si="28"/>
        <v>3.574498451231258E-4</v>
      </c>
      <c r="AD414" s="32">
        <f t="shared" si="28"/>
        <v>6.9495677808506843E-4</v>
      </c>
      <c r="AE414" s="32">
        <f t="shared" si="28"/>
        <v>8.1327764246966726E-4</v>
      </c>
      <c r="AF414" s="32">
        <f t="shared" si="27"/>
        <v>7.7163413751864252E-4</v>
      </c>
      <c r="AG414" s="32">
        <f t="shared" si="27"/>
        <v>4.9134936713133355E-4</v>
      </c>
      <c r="AH414" s="32">
        <f t="shared" si="27"/>
        <v>9.151053329403561E-4</v>
      </c>
      <c r="AI414" s="32">
        <f t="shared" si="27"/>
        <v>1.9980136357996363E-3</v>
      </c>
      <c r="AJ414" s="32">
        <f t="shared" si="27"/>
        <v>4.5669388613831883E-3</v>
      </c>
      <c r="AK414" s="33">
        <f t="shared" si="30"/>
        <v>1.0338042706922134E-3</v>
      </c>
    </row>
    <row r="415" spans="1:37" x14ac:dyDescent="0.3">
      <c r="A415" t="s">
        <v>84</v>
      </c>
      <c r="B415" s="1">
        <v>2016</v>
      </c>
      <c r="C415" s="1" t="str">
        <f t="shared" si="29"/>
        <v>Vermont, 2016</v>
      </c>
      <c r="D415" s="27">
        <v>101</v>
      </c>
      <c r="E415" s="27">
        <v>51</v>
      </c>
      <c r="F415" s="27">
        <v>57</v>
      </c>
      <c r="G415" s="27">
        <v>47</v>
      </c>
      <c r="H415" s="27">
        <v>62</v>
      </c>
      <c r="I415" s="27">
        <v>61</v>
      </c>
      <c r="J415" s="27">
        <v>66</v>
      </c>
      <c r="K415" s="27">
        <v>57</v>
      </c>
      <c r="L415" s="27">
        <v>50</v>
      </c>
      <c r="M415" s="27">
        <v>45</v>
      </c>
      <c r="N415" s="27">
        <v>58</v>
      </c>
      <c r="O415" s="28">
        <v>655</v>
      </c>
      <c r="P415" s="29">
        <v>24208.002999999997</v>
      </c>
      <c r="Q415" s="30">
        <v>53794.082999999999</v>
      </c>
      <c r="R415" s="30">
        <v>74645.221999999994</v>
      </c>
      <c r="S415" s="30">
        <v>58724.59</v>
      </c>
      <c r="T415" s="30">
        <v>56755.221999999994</v>
      </c>
      <c r="U415" s="30">
        <v>72755.232999999993</v>
      </c>
      <c r="V415" s="30">
        <v>75627.967999999993</v>
      </c>
      <c r="W415" s="30">
        <v>49366.566999999995</v>
      </c>
      <c r="X415" s="30">
        <v>24225.443000000003</v>
      </c>
      <c r="Y415" s="30">
        <v>11416.294</v>
      </c>
      <c r="Z415" s="31">
        <v>501504</v>
      </c>
      <c r="AA415" s="32">
        <f t="shared" si="28"/>
        <v>4.172173970731911E-3</v>
      </c>
      <c r="AB415" s="32">
        <f t="shared" si="28"/>
        <v>9.4805965927516605E-4</v>
      </c>
      <c r="AC415" s="32">
        <f t="shared" si="28"/>
        <v>7.6361217064904708E-4</v>
      </c>
      <c r="AD415" s="32">
        <f t="shared" si="28"/>
        <v>8.0034615822775442E-4</v>
      </c>
      <c r="AE415" s="32">
        <f t="shared" si="28"/>
        <v>1.0924104922010525E-3</v>
      </c>
      <c r="AF415" s="32">
        <f t="shared" si="27"/>
        <v>8.38427663340725E-4</v>
      </c>
      <c r="AG415" s="32">
        <f t="shared" si="27"/>
        <v>8.7269302277168158E-4</v>
      </c>
      <c r="AH415" s="32">
        <f t="shared" si="27"/>
        <v>1.154627584292017E-3</v>
      </c>
      <c r="AI415" s="32">
        <f t="shared" si="27"/>
        <v>2.0639457449756439E-3</v>
      </c>
      <c r="AJ415" s="32">
        <f t="shared" si="27"/>
        <v>3.9417345068373331E-3</v>
      </c>
      <c r="AK415" s="33">
        <f t="shared" si="30"/>
        <v>1.3060713374170496E-3</v>
      </c>
    </row>
    <row r="416" spans="1:37" x14ac:dyDescent="0.3">
      <c r="A416" t="s">
        <v>84</v>
      </c>
      <c r="B416" s="1">
        <v>2017</v>
      </c>
      <c r="C416" s="1" t="str">
        <f t="shared" si="29"/>
        <v>Vermont, 2017</v>
      </c>
      <c r="D416" s="27">
        <v>103</v>
      </c>
      <c r="E416" s="27">
        <v>46</v>
      </c>
      <c r="F416" s="27">
        <v>56</v>
      </c>
      <c r="G416" s="27">
        <v>54</v>
      </c>
      <c r="H416" s="27">
        <v>55</v>
      </c>
      <c r="I416" s="27">
        <v>50</v>
      </c>
      <c r="J416" s="27">
        <v>48</v>
      </c>
      <c r="K416" s="27">
        <v>47</v>
      </c>
      <c r="L416" s="27">
        <v>48</v>
      </c>
      <c r="M416" s="27">
        <v>54</v>
      </c>
      <c r="N416" s="27">
        <v>44</v>
      </c>
      <c r="O416" s="28">
        <v>605</v>
      </c>
      <c r="P416" s="29">
        <v>28365</v>
      </c>
      <c r="Q416" s="30">
        <v>63950</v>
      </c>
      <c r="R416" s="30">
        <v>84590</v>
      </c>
      <c r="S416" s="30">
        <v>67970</v>
      </c>
      <c r="T416" s="30">
        <v>67004</v>
      </c>
      <c r="U416" s="30">
        <v>83777</v>
      </c>
      <c r="V416" s="30">
        <v>90409</v>
      </c>
      <c r="W416" s="30">
        <v>60957</v>
      </c>
      <c r="X416" s="30">
        <v>28694</v>
      </c>
      <c r="Y416" s="30">
        <v>12702</v>
      </c>
      <c r="Z416" s="31">
        <v>588418</v>
      </c>
      <c r="AA416" s="32">
        <f t="shared" si="28"/>
        <v>3.631235677771902E-3</v>
      </c>
      <c r="AB416" s="32">
        <f t="shared" si="28"/>
        <v>7.1931196247068023E-4</v>
      </c>
      <c r="AC416" s="32">
        <f t="shared" si="28"/>
        <v>6.620167868542381E-4</v>
      </c>
      <c r="AD416" s="32">
        <f t="shared" si="28"/>
        <v>7.9446814771222602E-4</v>
      </c>
      <c r="AE416" s="32">
        <f t="shared" si="28"/>
        <v>8.2084651662587313E-4</v>
      </c>
      <c r="AF416" s="32">
        <f t="shared" si="27"/>
        <v>5.9682251691991833E-4</v>
      </c>
      <c r="AG416" s="32">
        <f t="shared" si="27"/>
        <v>5.3092059418863161E-4</v>
      </c>
      <c r="AH416" s="32">
        <f t="shared" si="27"/>
        <v>7.7103531997965778E-4</v>
      </c>
      <c r="AI416" s="32">
        <f t="shared" si="27"/>
        <v>1.6728235868125742E-3</v>
      </c>
      <c r="AJ416" s="32">
        <f t="shared" si="27"/>
        <v>4.251299008030231E-3</v>
      </c>
      <c r="AK416" s="33">
        <f t="shared" si="30"/>
        <v>1.0281806470910134E-3</v>
      </c>
    </row>
    <row r="417" spans="1:37" x14ac:dyDescent="0.3">
      <c r="A417" t="s">
        <v>85</v>
      </c>
      <c r="B417" s="1">
        <v>2009</v>
      </c>
      <c r="C417" s="1" t="str">
        <f t="shared" si="29"/>
        <v>Virginia, 2009</v>
      </c>
      <c r="D417" s="27">
        <v>95</v>
      </c>
      <c r="E417" s="27">
        <v>69</v>
      </c>
      <c r="F417" s="27">
        <v>63</v>
      </c>
      <c r="G417" s="27">
        <v>59</v>
      </c>
      <c r="H417" s="27">
        <v>63</v>
      </c>
      <c r="I417" s="27">
        <v>57</v>
      </c>
      <c r="J417" s="27">
        <v>79</v>
      </c>
      <c r="K417" s="27">
        <v>131</v>
      </c>
      <c r="L417" s="27">
        <v>351</v>
      </c>
      <c r="M417" s="27">
        <v>550</v>
      </c>
      <c r="N417" s="27">
        <v>19</v>
      </c>
      <c r="O417" s="28">
        <v>1536</v>
      </c>
      <c r="P417" s="29">
        <v>519928.79699999996</v>
      </c>
      <c r="Q417" s="30">
        <v>991352.29000000027</v>
      </c>
      <c r="R417" s="30">
        <v>1107530.004</v>
      </c>
      <c r="S417" s="30">
        <v>1039711.3879999997</v>
      </c>
      <c r="T417" s="30">
        <v>1140954.7509999997</v>
      </c>
      <c r="U417" s="30">
        <v>1134156.0450000002</v>
      </c>
      <c r="V417" s="30">
        <v>847118.27399999974</v>
      </c>
      <c r="W417" s="30">
        <v>488568.8559999998</v>
      </c>
      <c r="X417" s="30">
        <v>298835.05899999989</v>
      </c>
      <c r="Y417" s="30">
        <v>111089.51500000004</v>
      </c>
      <c r="Z417" s="31">
        <v>7678761</v>
      </c>
      <c r="AA417" s="32">
        <f t="shared" si="28"/>
        <v>1.8271732696506135E-4</v>
      </c>
      <c r="AB417" s="32">
        <f t="shared" si="28"/>
        <v>6.9601897020886471E-5</v>
      </c>
      <c r="AC417" s="32">
        <f t="shared" si="28"/>
        <v>5.6883334783226332E-5</v>
      </c>
      <c r="AD417" s="32">
        <f t="shared" si="28"/>
        <v>5.674651704401647E-5</v>
      </c>
      <c r="AE417" s="32">
        <f t="shared" si="28"/>
        <v>5.5216913681093052E-5</v>
      </c>
      <c r="AF417" s="32">
        <f t="shared" si="27"/>
        <v>5.0257634521535341E-5</v>
      </c>
      <c r="AG417" s="32">
        <f t="shared" si="27"/>
        <v>9.3257343661081287E-5</v>
      </c>
      <c r="AH417" s="32">
        <f t="shared" si="27"/>
        <v>2.6813006680884312E-4</v>
      </c>
      <c r="AI417" s="32">
        <f t="shared" si="27"/>
        <v>1.1745609808118268E-3</v>
      </c>
      <c r="AJ417" s="32">
        <f t="shared" si="27"/>
        <v>4.9509622937862294E-3</v>
      </c>
      <c r="AK417" s="33">
        <f t="shared" si="30"/>
        <v>2.0003227083119268E-4</v>
      </c>
    </row>
    <row r="418" spans="1:37" x14ac:dyDescent="0.3">
      <c r="A418" t="s">
        <v>85</v>
      </c>
      <c r="B418" s="1">
        <v>2010</v>
      </c>
      <c r="C418" s="1" t="str">
        <f t="shared" si="29"/>
        <v>Virginia, 2010</v>
      </c>
      <c r="D418" s="27">
        <v>90</v>
      </c>
      <c r="E418" s="27">
        <v>68</v>
      </c>
      <c r="F418" s="27">
        <v>37</v>
      </c>
      <c r="G418" s="27">
        <v>43</v>
      </c>
      <c r="H418" s="27">
        <v>51</v>
      </c>
      <c r="I418" s="27">
        <v>52</v>
      </c>
      <c r="J418" s="27">
        <v>60</v>
      </c>
      <c r="K418" s="27">
        <v>127</v>
      </c>
      <c r="L418" s="27">
        <v>329</v>
      </c>
      <c r="M418" s="27">
        <v>581</v>
      </c>
      <c r="N418" s="27">
        <v>62</v>
      </c>
      <c r="O418" s="28">
        <v>1500</v>
      </c>
      <c r="P418" s="29">
        <v>487729.92000000016</v>
      </c>
      <c r="Q418" s="30">
        <v>972715.76600000006</v>
      </c>
      <c r="R418" s="30">
        <v>1054605.392</v>
      </c>
      <c r="S418" s="30">
        <v>1014120.6889999999</v>
      </c>
      <c r="T418" s="30">
        <v>1101463.2830000001</v>
      </c>
      <c r="U418" s="30">
        <v>1137836.2810000002</v>
      </c>
      <c r="V418" s="30">
        <v>861356.41900000011</v>
      </c>
      <c r="W418" s="30">
        <v>487453.46799999988</v>
      </c>
      <c r="X418" s="30">
        <v>286158.2379999999</v>
      </c>
      <c r="Y418" s="30">
        <v>106944.284</v>
      </c>
      <c r="Z418" s="31">
        <v>7511258</v>
      </c>
      <c r="AA418" s="32">
        <f t="shared" si="28"/>
        <v>1.8452835536519877E-4</v>
      </c>
      <c r="AB418" s="32">
        <f t="shared" si="28"/>
        <v>6.9907369014516406E-5</v>
      </c>
      <c r="AC418" s="32">
        <f t="shared" si="28"/>
        <v>3.5084212806679828E-5</v>
      </c>
      <c r="AD418" s="32">
        <f t="shared" si="28"/>
        <v>4.2401264924790428E-5</v>
      </c>
      <c r="AE418" s="32">
        <f t="shared" si="28"/>
        <v>4.6302042734546599E-5</v>
      </c>
      <c r="AF418" s="32">
        <f t="shared" si="27"/>
        <v>4.5700775118806386E-5</v>
      </c>
      <c r="AG418" s="32">
        <f t="shared" si="27"/>
        <v>6.9657575745076086E-5</v>
      </c>
      <c r="AH418" s="32">
        <f t="shared" si="27"/>
        <v>2.6053768890203083E-4</v>
      </c>
      <c r="AI418" s="32">
        <f t="shared" si="27"/>
        <v>1.149713537165406E-3</v>
      </c>
      <c r="AJ418" s="32">
        <f t="shared" si="27"/>
        <v>5.432735423241508E-3</v>
      </c>
      <c r="AK418" s="33">
        <f t="shared" si="30"/>
        <v>1.9970023663146705E-4</v>
      </c>
    </row>
    <row r="419" spans="1:37" x14ac:dyDescent="0.3">
      <c r="A419" t="s">
        <v>85</v>
      </c>
      <c r="B419" s="1">
        <v>2011</v>
      </c>
      <c r="C419" s="1" t="str">
        <f t="shared" si="29"/>
        <v>Virginia, 2011</v>
      </c>
      <c r="D419" s="27">
        <v>105</v>
      </c>
      <c r="E419" s="27">
        <v>54</v>
      </c>
      <c r="F419" s="27">
        <v>62</v>
      </c>
      <c r="G419" s="27">
        <v>45</v>
      </c>
      <c r="H419" s="27">
        <v>60</v>
      </c>
      <c r="I419" s="27">
        <v>74</v>
      </c>
      <c r="J419" s="27">
        <v>92</v>
      </c>
      <c r="K419" s="27">
        <v>197</v>
      </c>
      <c r="L419" s="27">
        <v>346</v>
      </c>
      <c r="M419" s="27">
        <v>661</v>
      </c>
      <c r="N419" s="27">
        <v>40</v>
      </c>
      <c r="O419" s="28">
        <v>1736</v>
      </c>
      <c r="P419" s="29">
        <v>499844.99500000005</v>
      </c>
      <c r="Q419" s="30">
        <v>998212.35000000033</v>
      </c>
      <c r="R419" s="30">
        <v>1097913.581</v>
      </c>
      <c r="S419" s="30">
        <v>1053283.102</v>
      </c>
      <c r="T419" s="30">
        <v>1105301.4609999997</v>
      </c>
      <c r="U419" s="30">
        <v>1169710.0320000001</v>
      </c>
      <c r="V419" s="30">
        <v>905938.76800000004</v>
      </c>
      <c r="W419" s="30">
        <v>517587.86000000004</v>
      </c>
      <c r="X419" s="30">
        <v>293951.64700000011</v>
      </c>
      <c r="Y419" s="30">
        <v>113890.88600000001</v>
      </c>
      <c r="Z419" s="31">
        <v>7752593</v>
      </c>
      <c r="AA419" s="32">
        <f t="shared" si="28"/>
        <v>2.1006512228856065E-4</v>
      </c>
      <c r="AB419" s="32">
        <f t="shared" si="28"/>
        <v>5.4096705976438765E-5</v>
      </c>
      <c r="AC419" s="32">
        <f t="shared" si="28"/>
        <v>5.6470746944881814E-5</v>
      </c>
      <c r="AD419" s="32">
        <f t="shared" si="28"/>
        <v>4.272355638721716E-5</v>
      </c>
      <c r="AE419" s="32">
        <f t="shared" si="28"/>
        <v>5.4283833069139512E-5</v>
      </c>
      <c r="AF419" s="32">
        <f t="shared" si="27"/>
        <v>6.326354222462545E-5</v>
      </c>
      <c r="AG419" s="32">
        <f t="shared" si="27"/>
        <v>1.0155211726185891E-4</v>
      </c>
      <c r="AH419" s="32">
        <f t="shared" si="27"/>
        <v>3.8061170909224954E-4</v>
      </c>
      <c r="AI419" s="32">
        <f t="shared" si="27"/>
        <v>1.1770643353462818E-3</v>
      </c>
      <c r="AJ419" s="32">
        <f t="shared" si="27"/>
        <v>5.8038006658408109E-3</v>
      </c>
      <c r="AK419" s="33">
        <f t="shared" si="30"/>
        <v>2.2392507900259953E-4</v>
      </c>
    </row>
    <row r="420" spans="1:37" x14ac:dyDescent="0.3">
      <c r="A420" t="s">
        <v>85</v>
      </c>
      <c r="B420" s="1">
        <v>2012</v>
      </c>
      <c r="C420" s="1" t="str">
        <f t="shared" si="29"/>
        <v>Virginia, 2012</v>
      </c>
      <c r="D420" s="27">
        <v>116</v>
      </c>
      <c r="E420" s="27">
        <v>57</v>
      </c>
      <c r="F420" s="27">
        <v>52</v>
      </c>
      <c r="G420" s="27">
        <v>58</v>
      </c>
      <c r="H420" s="27">
        <v>67</v>
      </c>
      <c r="I420" s="27">
        <v>68</v>
      </c>
      <c r="J420" s="27">
        <v>70</v>
      </c>
      <c r="K420" s="27">
        <v>140</v>
      </c>
      <c r="L420" s="27">
        <v>330</v>
      </c>
      <c r="M420" s="27">
        <v>643</v>
      </c>
      <c r="N420" s="27">
        <v>56</v>
      </c>
      <c r="O420" s="28">
        <v>1657</v>
      </c>
      <c r="P420" s="29">
        <v>472614.79699999985</v>
      </c>
      <c r="Q420" s="30">
        <v>955029.89599999995</v>
      </c>
      <c r="R420" s="30">
        <v>1041628.9380000004</v>
      </c>
      <c r="S420" s="30">
        <v>1019541.2189999997</v>
      </c>
      <c r="T420" s="30">
        <v>1041623.876</v>
      </c>
      <c r="U420" s="30">
        <v>1119142.6459999999</v>
      </c>
      <c r="V420" s="30">
        <v>884504.61800000002</v>
      </c>
      <c r="W420" s="30">
        <v>509628.43200000009</v>
      </c>
      <c r="X420" s="30">
        <v>279964.91800000001</v>
      </c>
      <c r="Y420" s="30">
        <v>110966.79100000001</v>
      </c>
      <c r="Z420" s="31">
        <v>7435969</v>
      </c>
      <c r="AA420" s="32">
        <f t="shared" si="28"/>
        <v>2.4544301349921561E-4</v>
      </c>
      <c r="AB420" s="32">
        <f t="shared" si="28"/>
        <v>5.9683995484053416E-5</v>
      </c>
      <c r="AC420" s="32">
        <f t="shared" si="28"/>
        <v>4.9921808143928484E-5</v>
      </c>
      <c r="AD420" s="32">
        <f t="shared" si="28"/>
        <v>5.6888332633464638E-5</v>
      </c>
      <c r="AE420" s="32">
        <f t="shared" si="28"/>
        <v>6.4322642312396452E-5</v>
      </c>
      <c r="AF420" s="32">
        <f t="shared" si="27"/>
        <v>6.0760797779481637E-5</v>
      </c>
      <c r="AG420" s="32">
        <f t="shared" si="27"/>
        <v>7.9140344296088226E-5</v>
      </c>
      <c r="AH420" s="32">
        <f t="shared" si="27"/>
        <v>2.747099478939589E-4</v>
      </c>
      <c r="AI420" s="32">
        <f t="shared" si="27"/>
        <v>1.1787191136569475E-3</v>
      </c>
      <c r="AJ420" s="32">
        <f t="shared" si="27"/>
        <v>5.7945264002452765E-3</v>
      </c>
      <c r="AK420" s="33">
        <f t="shared" si="30"/>
        <v>2.2283578643213816E-4</v>
      </c>
    </row>
    <row r="421" spans="1:37" x14ac:dyDescent="0.3">
      <c r="A421" t="s">
        <v>85</v>
      </c>
      <c r="B421" s="1">
        <v>2013</v>
      </c>
      <c r="C421" s="1" t="str">
        <f t="shared" si="29"/>
        <v>Virginia, 2013</v>
      </c>
      <c r="D421" s="27">
        <v>90</v>
      </c>
      <c r="E421" s="27">
        <v>59</v>
      </c>
      <c r="F421" s="27">
        <v>45</v>
      </c>
      <c r="G421" s="27">
        <v>42</v>
      </c>
      <c r="H421" s="27">
        <v>39</v>
      </c>
      <c r="I421" s="27">
        <v>36</v>
      </c>
      <c r="J421" s="27">
        <v>90</v>
      </c>
      <c r="K421" s="27">
        <v>199</v>
      </c>
      <c r="L421" s="27">
        <v>382</v>
      </c>
      <c r="M421" s="27">
        <v>649</v>
      </c>
      <c r="N421" s="27">
        <v>68</v>
      </c>
      <c r="O421" s="28">
        <v>1699</v>
      </c>
      <c r="P421" s="29">
        <v>487384.20599999995</v>
      </c>
      <c r="Q421" s="30">
        <v>986029.11699999985</v>
      </c>
      <c r="R421" s="30">
        <v>1039508.0129999997</v>
      </c>
      <c r="S421" s="30">
        <v>1056576.865</v>
      </c>
      <c r="T421" s="30">
        <v>1049992.4650000001</v>
      </c>
      <c r="U421" s="30">
        <v>1139063.4420000003</v>
      </c>
      <c r="V421" s="30">
        <v>924279.68700000027</v>
      </c>
      <c r="W421" s="30">
        <v>546884.38899999997</v>
      </c>
      <c r="X421" s="30">
        <v>289892.505</v>
      </c>
      <c r="Y421" s="30">
        <v>117269.92300000004</v>
      </c>
      <c r="Z421" s="31">
        <v>7635943</v>
      </c>
      <c r="AA421" s="32">
        <f t="shared" si="28"/>
        <v>1.8465924601586292E-4</v>
      </c>
      <c r="AB421" s="32">
        <f t="shared" si="28"/>
        <v>5.9835961213303612E-5</v>
      </c>
      <c r="AC421" s="32">
        <f t="shared" si="28"/>
        <v>4.3289709590723486E-5</v>
      </c>
      <c r="AD421" s="32">
        <f t="shared" si="28"/>
        <v>3.9751012341160814E-5</v>
      </c>
      <c r="AE421" s="32">
        <f t="shared" si="28"/>
        <v>3.7143123688987614E-5</v>
      </c>
      <c r="AF421" s="32">
        <f t="shared" si="27"/>
        <v>3.1604912134472659E-5</v>
      </c>
      <c r="AG421" s="32">
        <f t="shared" si="27"/>
        <v>9.7373123380131122E-5</v>
      </c>
      <c r="AH421" s="32">
        <f t="shared" si="27"/>
        <v>3.638794670366793E-4</v>
      </c>
      <c r="AI421" s="32">
        <f t="shared" si="27"/>
        <v>1.317729825405455E-3</v>
      </c>
      <c r="AJ421" s="32">
        <f t="shared" si="27"/>
        <v>5.5342408641301808E-3</v>
      </c>
      <c r="AK421" s="33">
        <f t="shared" si="30"/>
        <v>2.2250035129911264E-4</v>
      </c>
    </row>
    <row r="422" spans="1:37" x14ac:dyDescent="0.3">
      <c r="A422" t="s">
        <v>85</v>
      </c>
      <c r="B422" s="1">
        <v>2014</v>
      </c>
      <c r="C422" s="1" t="str">
        <f t="shared" si="29"/>
        <v>Virginia, 2014</v>
      </c>
      <c r="D422" s="27">
        <v>112</v>
      </c>
      <c r="E422" s="27">
        <v>67</v>
      </c>
      <c r="F422" s="27">
        <v>54</v>
      </c>
      <c r="G422" s="27">
        <v>59</v>
      </c>
      <c r="H422" s="27">
        <v>80</v>
      </c>
      <c r="I422" s="27">
        <v>76</v>
      </c>
      <c r="J422" s="27">
        <v>126</v>
      </c>
      <c r="K422" s="27">
        <v>237</v>
      </c>
      <c r="L422" s="27">
        <v>372</v>
      </c>
      <c r="M422" s="27">
        <v>620</v>
      </c>
      <c r="N422" s="27">
        <v>54</v>
      </c>
      <c r="O422" s="28">
        <v>1857</v>
      </c>
      <c r="P422" s="29">
        <v>477167.43899999995</v>
      </c>
      <c r="Q422" s="30">
        <v>969042.59700000018</v>
      </c>
      <c r="R422" s="30">
        <v>1060868.0540000002</v>
      </c>
      <c r="S422" s="30">
        <v>1065990.2129999995</v>
      </c>
      <c r="T422" s="30">
        <v>1027529.4830000001</v>
      </c>
      <c r="U422" s="30">
        <v>1114171.4610000001</v>
      </c>
      <c r="V422" s="30">
        <v>929684.08799999999</v>
      </c>
      <c r="W422" s="30">
        <v>557608.88300000038</v>
      </c>
      <c r="X422" s="30">
        <v>280733.84600000008</v>
      </c>
      <c r="Y422" s="30">
        <v>117316.75799999999</v>
      </c>
      <c r="Z422" s="31">
        <v>7601255</v>
      </c>
      <c r="AA422" s="32">
        <f t="shared" si="28"/>
        <v>2.3471844649483725E-4</v>
      </c>
      <c r="AB422" s="32">
        <f t="shared" si="28"/>
        <v>6.9140407457237904E-5</v>
      </c>
      <c r="AC422" s="32">
        <f t="shared" si="28"/>
        <v>5.0901711854168045E-5</v>
      </c>
      <c r="AD422" s="32">
        <f t="shared" si="28"/>
        <v>5.5347600081577884E-5</v>
      </c>
      <c r="AE422" s="32">
        <f t="shared" si="28"/>
        <v>7.7856646766407176E-5</v>
      </c>
      <c r="AF422" s="32">
        <f t="shared" si="27"/>
        <v>6.8212122335091822E-5</v>
      </c>
      <c r="AG422" s="32">
        <f t="shared" si="27"/>
        <v>1.3552990916630597E-4</v>
      </c>
      <c r="AH422" s="32">
        <f t="shared" si="27"/>
        <v>4.2502909696293312E-4</v>
      </c>
      <c r="AI422" s="32">
        <f t="shared" si="27"/>
        <v>1.3250985062912574E-3</v>
      </c>
      <c r="AJ422" s="32">
        <f t="shared" si="27"/>
        <v>5.2848374824677651E-3</v>
      </c>
      <c r="AK422" s="33">
        <f t="shared" si="30"/>
        <v>2.4430176332724006E-4</v>
      </c>
    </row>
    <row r="423" spans="1:37" x14ac:dyDescent="0.3">
      <c r="A423" t="s">
        <v>85</v>
      </c>
      <c r="B423" s="1">
        <v>2015</v>
      </c>
      <c r="C423" s="1" t="str">
        <f t="shared" si="29"/>
        <v>Virginia, 2015</v>
      </c>
      <c r="D423" s="27">
        <v>100</v>
      </c>
      <c r="E423" s="27">
        <v>51</v>
      </c>
      <c r="F423" s="27">
        <v>52</v>
      </c>
      <c r="G423" s="27">
        <v>52</v>
      </c>
      <c r="H423" s="27">
        <v>62</v>
      </c>
      <c r="I423" s="27">
        <v>75</v>
      </c>
      <c r="J423" s="27">
        <v>112</v>
      </c>
      <c r="K423" s="27">
        <v>224</v>
      </c>
      <c r="L423" s="27">
        <v>350</v>
      </c>
      <c r="M423" s="27">
        <v>632</v>
      </c>
      <c r="N423" s="27">
        <v>54</v>
      </c>
      <c r="O423" s="28">
        <v>1764</v>
      </c>
      <c r="P423" s="29">
        <v>492062.95700000011</v>
      </c>
      <c r="Q423" s="30">
        <v>996336.946</v>
      </c>
      <c r="R423" s="30">
        <v>1065971.0079999999</v>
      </c>
      <c r="S423" s="30">
        <v>1103750.6540000006</v>
      </c>
      <c r="T423" s="30">
        <v>1044474.0499999998</v>
      </c>
      <c r="U423" s="30">
        <v>1127841.6310000001</v>
      </c>
      <c r="V423" s="30">
        <v>968633.42600000009</v>
      </c>
      <c r="W423" s="30">
        <v>602430.14300000004</v>
      </c>
      <c r="X423" s="30">
        <v>300738.63400000002</v>
      </c>
      <c r="Y423" s="30">
        <v>128815.716</v>
      </c>
      <c r="Z423" s="31">
        <v>7827758</v>
      </c>
      <c r="AA423" s="32">
        <f t="shared" si="28"/>
        <v>2.0322602743697281E-4</v>
      </c>
      <c r="AB423" s="32">
        <f t="shared" si="28"/>
        <v>5.118750258609802E-5</v>
      </c>
      <c r="AC423" s="32">
        <f t="shared" si="28"/>
        <v>4.8781814523796134E-5</v>
      </c>
      <c r="AD423" s="32">
        <f t="shared" si="28"/>
        <v>4.7112089865180705E-5</v>
      </c>
      <c r="AE423" s="32">
        <f t="shared" si="28"/>
        <v>5.9360019523701917E-5</v>
      </c>
      <c r="AF423" s="32">
        <f t="shared" si="27"/>
        <v>6.6498697989629364E-5</v>
      </c>
      <c r="AG423" s="32">
        <f t="shared" si="27"/>
        <v>1.1562681711543577E-4</v>
      </c>
      <c r="AH423" s="32">
        <f t="shared" si="27"/>
        <v>3.7182734397139881E-4</v>
      </c>
      <c r="AI423" s="32">
        <f t="shared" si="27"/>
        <v>1.16380125607673E-3</v>
      </c>
      <c r="AJ423" s="32">
        <f t="shared" si="27"/>
        <v>4.9062336462113052E-3</v>
      </c>
      <c r="AK423" s="33">
        <f t="shared" si="30"/>
        <v>2.253518823652954E-4</v>
      </c>
    </row>
    <row r="424" spans="1:37" x14ac:dyDescent="0.3">
      <c r="A424" t="s">
        <v>85</v>
      </c>
      <c r="B424" s="1">
        <v>2016</v>
      </c>
      <c r="C424" s="1" t="str">
        <f t="shared" si="29"/>
        <v>Virginia, 2016</v>
      </c>
      <c r="D424" s="27">
        <v>120</v>
      </c>
      <c r="E424" s="27">
        <v>76</v>
      </c>
      <c r="F424" s="27">
        <v>48</v>
      </c>
      <c r="G424" s="27">
        <v>41</v>
      </c>
      <c r="H424" s="27">
        <v>56</v>
      </c>
      <c r="I424" s="27">
        <v>60</v>
      </c>
      <c r="J424" s="27">
        <v>108</v>
      </c>
      <c r="K424" s="27">
        <v>193</v>
      </c>
      <c r="L424" s="27">
        <v>295</v>
      </c>
      <c r="M424" s="27">
        <v>494</v>
      </c>
      <c r="N424" s="27">
        <v>56</v>
      </c>
      <c r="O424" s="28">
        <v>1547</v>
      </c>
      <c r="P424" s="29">
        <v>487046.0399999998</v>
      </c>
      <c r="Q424" s="30">
        <v>989691.95900000003</v>
      </c>
      <c r="R424" s="30">
        <v>1081592.25</v>
      </c>
      <c r="S424" s="30">
        <v>1107502.6170000006</v>
      </c>
      <c r="T424" s="30">
        <v>1041623.6329999998</v>
      </c>
      <c r="U424" s="30">
        <v>1113453.1610000001</v>
      </c>
      <c r="V424" s="30">
        <v>976334.58800000045</v>
      </c>
      <c r="W424" s="30">
        <v>624103.14500000002</v>
      </c>
      <c r="X424" s="30">
        <v>302802.81299999985</v>
      </c>
      <c r="Y424" s="30">
        <v>126002.05900000001</v>
      </c>
      <c r="Z424" s="31">
        <v>7853798</v>
      </c>
      <c r="AA424" s="32">
        <f t="shared" si="28"/>
        <v>2.4638327826256433E-4</v>
      </c>
      <c r="AB424" s="32">
        <f t="shared" si="28"/>
        <v>7.6791570658805357E-5</v>
      </c>
      <c r="AC424" s="32">
        <f t="shared" si="28"/>
        <v>4.4379016214289626E-5</v>
      </c>
      <c r="AD424" s="32">
        <f t="shared" si="28"/>
        <v>3.702022854904006E-5</v>
      </c>
      <c r="AE424" s="32">
        <f t="shared" si="28"/>
        <v>5.376222104207961E-5</v>
      </c>
      <c r="AF424" s="32">
        <f t="shared" si="27"/>
        <v>5.3886415793290828E-5</v>
      </c>
      <c r="AG424" s="32">
        <f t="shared" si="27"/>
        <v>1.1061781619478992E-4</v>
      </c>
      <c r="AH424" s="32">
        <f t="shared" si="27"/>
        <v>3.0924375489247054E-4</v>
      </c>
      <c r="AI424" s="32">
        <f t="shared" si="27"/>
        <v>9.7423137215043025E-4</v>
      </c>
      <c r="AJ424" s="32">
        <f t="shared" si="27"/>
        <v>3.9205708535286713E-3</v>
      </c>
      <c r="AK424" s="33">
        <f t="shared" si="30"/>
        <v>1.9697476303821412E-4</v>
      </c>
    </row>
    <row r="425" spans="1:37" x14ac:dyDescent="0.3">
      <c r="A425" t="s">
        <v>85</v>
      </c>
      <c r="B425" s="1">
        <v>2017</v>
      </c>
      <c r="C425" s="1" t="str">
        <f t="shared" si="29"/>
        <v>Virginia, 2017</v>
      </c>
      <c r="D425" s="27">
        <v>98</v>
      </c>
      <c r="E425" s="27">
        <v>59</v>
      </c>
      <c r="F425" s="27">
        <v>49</v>
      </c>
      <c r="G425" s="27">
        <v>60</v>
      </c>
      <c r="H425" s="27">
        <v>40</v>
      </c>
      <c r="I425" s="27">
        <v>46</v>
      </c>
      <c r="J425" s="27">
        <v>110</v>
      </c>
      <c r="K425" s="27">
        <v>215</v>
      </c>
      <c r="L425" s="27">
        <v>315</v>
      </c>
      <c r="M425" s="27">
        <v>511</v>
      </c>
      <c r="N425" s="27">
        <v>59</v>
      </c>
      <c r="O425" s="28">
        <v>1562</v>
      </c>
      <c r="P425" s="29">
        <v>489054</v>
      </c>
      <c r="Q425" s="30">
        <v>994145</v>
      </c>
      <c r="R425" s="30">
        <v>1082047</v>
      </c>
      <c r="S425" s="30">
        <v>1116528</v>
      </c>
      <c r="T425" s="30">
        <v>1045744</v>
      </c>
      <c r="U425" s="30">
        <v>1109124</v>
      </c>
      <c r="V425" s="30">
        <v>998368</v>
      </c>
      <c r="W425" s="30">
        <v>656218</v>
      </c>
      <c r="X425" s="30">
        <v>316570</v>
      </c>
      <c r="Y425" s="30">
        <v>131493</v>
      </c>
      <c r="Z425" s="31">
        <v>7939291</v>
      </c>
      <c r="AA425" s="32">
        <f t="shared" si="28"/>
        <v>2.0038686934367166E-4</v>
      </c>
      <c r="AB425" s="32">
        <f t="shared" si="28"/>
        <v>5.9347479492428164E-5</v>
      </c>
      <c r="AC425" s="32">
        <f t="shared" si="28"/>
        <v>4.5284539396163012E-5</v>
      </c>
      <c r="AD425" s="32">
        <f t="shared" si="28"/>
        <v>5.373801642233782E-5</v>
      </c>
      <c r="AE425" s="32">
        <f t="shared" si="28"/>
        <v>3.8250279227038357E-5</v>
      </c>
      <c r="AF425" s="32">
        <f t="shared" si="27"/>
        <v>4.1474172409937933E-5</v>
      </c>
      <c r="AG425" s="32">
        <f t="shared" si="27"/>
        <v>1.1017981345555947E-4</v>
      </c>
      <c r="AH425" s="32">
        <f t="shared" si="27"/>
        <v>3.2763502372687127E-4</v>
      </c>
      <c r="AI425" s="32">
        <f t="shared" si="27"/>
        <v>9.9504059133840857E-4</v>
      </c>
      <c r="AJ425" s="32">
        <f t="shared" si="27"/>
        <v>3.8861384256196146E-3</v>
      </c>
      <c r="AK425" s="33">
        <f t="shared" si="30"/>
        <v>1.9674300891603545E-4</v>
      </c>
    </row>
    <row r="426" spans="1:37" x14ac:dyDescent="0.3">
      <c r="A426" t="s">
        <v>86</v>
      </c>
      <c r="B426" s="1">
        <v>2009</v>
      </c>
      <c r="C426" s="1" t="str">
        <f t="shared" si="29"/>
        <v>Washington, 2009</v>
      </c>
      <c r="D426" s="27">
        <v>111</v>
      </c>
      <c r="E426" s="27">
        <v>47</v>
      </c>
      <c r="F426" s="27">
        <v>56</v>
      </c>
      <c r="G426" s="27">
        <v>54</v>
      </c>
      <c r="H426" s="27">
        <v>52</v>
      </c>
      <c r="I426" s="27">
        <v>74</v>
      </c>
      <c r="J426" s="27">
        <v>80</v>
      </c>
      <c r="K426" s="27">
        <v>63</v>
      </c>
      <c r="L426" s="27">
        <v>152</v>
      </c>
      <c r="M426" s="27">
        <v>320</v>
      </c>
      <c r="N426" s="27">
        <v>59</v>
      </c>
      <c r="O426" s="28">
        <v>1068</v>
      </c>
      <c r="P426" s="29">
        <v>431513.32899999997</v>
      </c>
      <c r="Q426" s="30">
        <v>844117.80799999984</v>
      </c>
      <c r="R426" s="30">
        <v>900477.19400000013</v>
      </c>
      <c r="S426" s="30">
        <v>895432.0340000001</v>
      </c>
      <c r="T426" s="30">
        <v>922174.39899999998</v>
      </c>
      <c r="U426" s="30">
        <v>972846.60000000021</v>
      </c>
      <c r="V426" s="30">
        <v>738332.50100000016</v>
      </c>
      <c r="W426" s="30">
        <v>400285.478</v>
      </c>
      <c r="X426" s="30">
        <v>255177.58699999994</v>
      </c>
      <c r="Y426" s="30">
        <v>103078.38500000001</v>
      </c>
      <c r="Z426" s="31">
        <v>6465755</v>
      </c>
      <c r="AA426" s="32">
        <f t="shared" si="28"/>
        <v>2.5723423250269983E-4</v>
      </c>
      <c r="AB426" s="32">
        <f t="shared" si="28"/>
        <v>5.5679431892757804E-5</v>
      </c>
      <c r="AC426" s="32">
        <f t="shared" si="28"/>
        <v>6.2189248515271103E-5</v>
      </c>
      <c r="AD426" s="32">
        <f t="shared" si="28"/>
        <v>6.03060846045184E-5</v>
      </c>
      <c r="AE426" s="32">
        <f t="shared" si="28"/>
        <v>5.6388466277515909E-5</v>
      </c>
      <c r="AF426" s="32">
        <f t="shared" si="27"/>
        <v>7.6065435187829184E-5</v>
      </c>
      <c r="AG426" s="32">
        <f t="shared" si="27"/>
        <v>1.0835226661652807E-4</v>
      </c>
      <c r="AH426" s="32">
        <f t="shared" si="27"/>
        <v>1.5738767320457226E-4</v>
      </c>
      <c r="AI426" s="32">
        <f t="shared" si="27"/>
        <v>5.9566359956213569E-4</v>
      </c>
      <c r="AJ426" s="32">
        <f t="shared" si="27"/>
        <v>3.1044335822684841E-3</v>
      </c>
      <c r="AK426" s="33">
        <f t="shared" si="30"/>
        <v>1.6517792585707316E-4</v>
      </c>
    </row>
    <row r="427" spans="1:37" x14ac:dyDescent="0.3">
      <c r="A427" t="s">
        <v>86</v>
      </c>
      <c r="B427" s="1">
        <v>2010</v>
      </c>
      <c r="C427" s="1" t="str">
        <f t="shared" si="29"/>
        <v>Washington, 2010</v>
      </c>
      <c r="D427" s="27">
        <v>105</v>
      </c>
      <c r="E427" s="27">
        <v>60</v>
      </c>
      <c r="F427" s="27">
        <v>67</v>
      </c>
      <c r="G427" s="27">
        <v>56</v>
      </c>
      <c r="H427" s="27">
        <v>45</v>
      </c>
      <c r="I427" s="27">
        <v>70</v>
      </c>
      <c r="J427" s="27">
        <v>64</v>
      </c>
      <c r="K427" s="27">
        <v>55</v>
      </c>
      <c r="L427" s="27">
        <v>121</v>
      </c>
      <c r="M427" s="27">
        <v>298</v>
      </c>
      <c r="N427" s="27">
        <v>35</v>
      </c>
      <c r="O427" s="28">
        <v>976</v>
      </c>
      <c r="P427" s="29">
        <v>425379.18200000009</v>
      </c>
      <c r="Q427" s="30">
        <v>853474.2100000002</v>
      </c>
      <c r="R427" s="30">
        <v>915993.04799999995</v>
      </c>
      <c r="S427" s="30">
        <v>895183.06699999992</v>
      </c>
      <c r="T427" s="30">
        <v>921788.9049999998</v>
      </c>
      <c r="U427" s="30">
        <v>977533.29300000018</v>
      </c>
      <c r="V427" s="30">
        <v>774018.30899999978</v>
      </c>
      <c r="W427" s="30">
        <v>415531.68199999997</v>
      </c>
      <c r="X427" s="30">
        <v>253453.77699999997</v>
      </c>
      <c r="Y427" s="30">
        <v>106946.40900000001</v>
      </c>
      <c r="Z427" s="31">
        <v>6541242</v>
      </c>
      <c r="AA427" s="32">
        <f t="shared" si="28"/>
        <v>2.4683859587656075E-4</v>
      </c>
      <c r="AB427" s="32">
        <f t="shared" si="28"/>
        <v>7.0300894036388027E-5</v>
      </c>
      <c r="AC427" s="32">
        <f t="shared" si="28"/>
        <v>7.3144659936327376E-5</v>
      </c>
      <c r="AD427" s="32">
        <f t="shared" si="28"/>
        <v>6.2557036727326751E-5</v>
      </c>
      <c r="AE427" s="32">
        <f t="shared" si="28"/>
        <v>4.8818118504040801E-5</v>
      </c>
      <c r="AF427" s="32">
        <f t="shared" si="27"/>
        <v>7.1608814248334755E-5</v>
      </c>
      <c r="AG427" s="32">
        <f t="shared" si="27"/>
        <v>8.2685382575362339E-5</v>
      </c>
      <c r="AH427" s="32">
        <f t="shared" si="27"/>
        <v>1.3236054525440495E-4</v>
      </c>
      <c r="AI427" s="32">
        <f t="shared" si="27"/>
        <v>4.7740460383827703E-4</v>
      </c>
      <c r="AJ427" s="32">
        <f t="shared" si="27"/>
        <v>2.7864423199099649E-3</v>
      </c>
      <c r="AK427" s="33">
        <f t="shared" si="30"/>
        <v>1.4920713833856017E-4</v>
      </c>
    </row>
    <row r="428" spans="1:37" x14ac:dyDescent="0.3">
      <c r="A428" t="s">
        <v>86</v>
      </c>
      <c r="B428" s="1">
        <v>2011</v>
      </c>
      <c r="C428" s="1" t="str">
        <f t="shared" si="29"/>
        <v>Washington, 2011</v>
      </c>
      <c r="D428" s="27">
        <v>117</v>
      </c>
      <c r="E428" s="27">
        <v>55</v>
      </c>
      <c r="F428" s="27">
        <v>49</v>
      </c>
      <c r="G428" s="27">
        <v>57</v>
      </c>
      <c r="H428" s="27">
        <v>43</v>
      </c>
      <c r="I428" s="27">
        <v>46</v>
      </c>
      <c r="J428" s="27">
        <v>74</v>
      </c>
      <c r="K428" s="27">
        <v>91</v>
      </c>
      <c r="L428" s="27">
        <v>167</v>
      </c>
      <c r="M428" s="27">
        <v>365</v>
      </c>
      <c r="N428" s="27">
        <v>54</v>
      </c>
      <c r="O428" s="28">
        <v>1118</v>
      </c>
      <c r="P428" s="29">
        <v>431446.04999999993</v>
      </c>
      <c r="Q428" s="30">
        <v>858672.20100000012</v>
      </c>
      <c r="R428" s="30">
        <v>921586.12300000002</v>
      </c>
      <c r="S428" s="30">
        <v>915263.39800000028</v>
      </c>
      <c r="T428" s="30">
        <v>912897.66399999999</v>
      </c>
      <c r="U428" s="30">
        <v>978297.68700000003</v>
      </c>
      <c r="V428" s="30">
        <v>805824.68099999987</v>
      </c>
      <c r="W428" s="30">
        <v>437026.83799999999</v>
      </c>
      <c r="X428" s="30">
        <v>256535.08400000003</v>
      </c>
      <c r="Y428" s="30">
        <v>111299.74999999999</v>
      </c>
      <c r="Z428" s="31">
        <v>6628098</v>
      </c>
      <c r="AA428" s="32">
        <f t="shared" si="28"/>
        <v>2.7118106655513478E-4</v>
      </c>
      <c r="AB428" s="32">
        <f t="shared" si="28"/>
        <v>6.4052382196544394E-5</v>
      </c>
      <c r="AC428" s="32">
        <f t="shared" si="28"/>
        <v>5.3169203373519115E-5</v>
      </c>
      <c r="AD428" s="32">
        <f t="shared" si="28"/>
        <v>6.227715445035199E-5</v>
      </c>
      <c r="AE428" s="32">
        <f t="shared" si="28"/>
        <v>4.7102760468888657E-5</v>
      </c>
      <c r="AF428" s="32">
        <f t="shared" si="27"/>
        <v>4.7020452579277129E-5</v>
      </c>
      <c r="AG428" s="32">
        <f t="shared" si="27"/>
        <v>9.1831389314321607E-5</v>
      </c>
      <c r="AH428" s="32">
        <f t="shared" si="27"/>
        <v>2.0822519828862318E-4</v>
      </c>
      <c r="AI428" s="32">
        <f t="shared" si="27"/>
        <v>6.5098308346783469E-4</v>
      </c>
      <c r="AJ428" s="32">
        <f t="shared" si="27"/>
        <v>3.2794323437384185E-3</v>
      </c>
      <c r="AK428" s="33">
        <f t="shared" si="30"/>
        <v>1.6867584033911388E-4</v>
      </c>
    </row>
    <row r="429" spans="1:37" x14ac:dyDescent="0.3">
      <c r="A429" t="s">
        <v>86</v>
      </c>
      <c r="B429" s="1">
        <v>2012</v>
      </c>
      <c r="C429" s="1" t="str">
        <f t="shared" si="29"/>
        <v>Washington, 2012</v>
      </c>
      <c r="D429" s="27">
        <v>115</v>
      </c>
      <c r="E429" s="27">
        <v>41</v>
      </c>
      <c r="F429" s="27">
        <v>77</v>
      </c>
      <c r="G429" s="27">
        <v>43</v>
      </c>
      <c r="H429" s="27">
        <v>56</v>
      </c>
      <c r="I429" s="27">
        <v>54</v>
      </c>
      <c r="J429" s="27">
        <v>58</v>
      </c>
      <c r="K429" s="27">
        <v>64</v>
      </c>
      <c r="L429" s="27">
        <v>164</v>
      </c>
      <c r="M429" s="27">
        <v>356</v>
      </c>
      <c r="N429" s="27">
        <v>50</v>
      </c>
      <c r="O429" s="28">
        <v>1078</v>
      </c>
      <c r="P429" s="29">
        <v>436138.85900000005</v>
      </c>
      <c r="Q429" s="30">
        <v>860872.62</v>
      </c>
      <c r="R429" s="30">
        <v>925591.1669999999</v>
      </c>
      <c r="S429" s="30">
        <v>938774.79499999981</v>
      </c>
      <c r="T429" s="30">
        <v>909764.26500000013</v>
      </c>
      <c r="U429" s="30">
        <v>976859.06</v>
      </c>
      <c r="V429" s="30">
        <v>830260.81099999999</v>
      </c>
      <c r="W429" s="30">
        <v>460453.1399999999</v>
      </c>
      <c r="X429" s="30">
        <v>257692.83199999999</v>
      </c>
      <c r="Y429" s="30">
        <v>113637.50300000001</v>
      </c>
      <c r="Z429" s="31">
        <v>6707406</v>
      </c>
      <c r="AA429" s="32">
        <f t="shared" si="28"/>
        <v>2.6367749084242912E-4</v>
      </c>
      <c r="AB429" s="32">
        <f t="shared" si="28"/>
        <v>4.7626093625791E-5</v>
      </c>
      <c r="AC429" s="32">
        <f t="shared" si="28"/>
        <v>8.3190076510313121E-5</v>
      </c>
      <c r="AD429" s="32">
        <f t="shared" si="28"/>
        <v>4.5804382722056369E-5</v>
      </c>
      <c r="AE429" s="32">
        <f t="shared" si="28"/>
        <v>6.1554407173818805E-5</v>
      </c>
      <c r="AF429" s="32">
        <f t="shared" si="27"/>
        <v>5.527921295012609E-5</v>
      </c>
      <c r="AG429" s="32">
        <f t="shared" si="27"/>
        <v>6.9857566720681944E-5</v>
      </c>
      <c r="AH429" s="32">
        <f t="shared" si="27"/>
        <v>1.3899351408484264E-4</v>
      </c>
      <c r="AI429" s="32">
        <f t="shared" si="27"/>
        <v>6.3641661557741738E-4</v>
      </c>
      <c r="AJ429" s="32">
        <f t="shared" si="27"/>
        <v>3.1327685896090128E-3</v>
      </c>
      <c r="AK429" s="33">
        <f t="shared" si="30"/>
        <v>1.6071786917326908E-4</v>
      </c>
    </row>
    <row r="430" spans="1:37" x14ac:dyDescent="0.3">
      <c r="A430" t="s">
        <v>86</v>
      </c>
      <c r="B430" s="1">
        <v>2013</v>
      </c>
      <c r="C430" s="1" t="str">
        <f t="shared" si="29"/>
        <v>Washington, 2013</v>
      </c>
      <c r="D430" s="27">
        <v>125</v>
      </c>
      <c r="E430" s="27">
        <v>55</v>
      </c>
      <c r="F430" s="27">
        <v>54</v>
      </c>
      <c r="G430" s="27">
        <v>67</v>
      </c>
      <c r="H430" s="27">
        <v>61</v>
      </c>
      <c r="I430" s="27">
        <v>45</v>
      </c>
      <c r="J430" s="27">
        <v>47</v>
      </c>
      <c r="K430" s="27">
        <v>65</v>
      </c>
      <c r="L430" s="27">
        <v>159</v>
      </c>
      <c r="M430" s="27">
        <v>416</v>
      </c>
      <c r="N430" s="27">
        <v>58</v>
      </c>
      <c r="O430" s="28">
        <v>1152</v>
      </c>
      <c r="P430" s="29">
        <v>438952.03499999997</v>
      </c>
      <c r="Q430" s="30">
        <v>867667.31799999997</v>
      </c>
      <c r="R430" s="30">
        <v>926810.46999999974</v>
      </c>
      <c r="S430" s="30">
        <v>953087.23300000024</v>
      </c>
      <c r="T430" s="30">
        <v>907527.15399999986</v>
      </c>
      <c r="U430" s="30">
        <v>966014.2209999999</v>
      </c>
      <c r="V430" s="30">
        <v>853730.01800000016</v>
      </c>
      <c r="W430" s="30">
        <v>486575.50700000004</v>
      </c>
      <c r="X430" s="30">
        <v>257634.24500000005</v>
      </c>
      <c r="Y430" s="30">
        <v>117355.77699999996</v>
      </c>
      <c r="Z430" s="31">
        <v>6778098</v>
      </c>
      <c r="AA430" s="32">
        <f t="shared" si="28"/>
        <v>2.8476915478931546E-4</v>
      </c>
      <c r="AB430" s="32">
        <f t="shared" si="28"/>
        <v>6.3388350418426152E-5</v>
      </c>
      <c r="AC430" s="32">
        <f t="shared" si="28"/>
        <v>5.8264339633539117E-5</v>
      </c>
      <c r="AD430" s="32">
        <f t="shared" si="28"/>
        <v>7.0297867477572205E-5</v>
      </c>
      <c r="AE430" s="32">
        <f t="shared" si="28"/>
        <v>6.7215619644147868E-5</v>
      </c>
      <c r="AF430" s="32">
        <f t="shared" si="27"/>
        <v>4.6583165156116272E-5</v>
      </c>
      <c r="AG430" s="32">
        <f t="shared" si="27"/>
        <v>5.5052533012842936E-5</v>
      </c>
      <c r="AH430" s="32">
        <f t="shared" si="27"/>
        <v>1.3358666653971136E-4</v>
      </c>
      <c r="AI430" s="32">
        <f t="shared" si="27"/>
        <v>6.1715398121860686E-4</v>
      </c>
      <c r="AJ430" s="32">
        <f t="shared" si="27"/>
        <v>3.5447764961753876E-3</v>
      </c>
      <c r="AK430" s="33">
        <f t="shared" si="30"/>
        <v>1.6995918323990005E-4</v>
      </c>
    </row>
    <row r="431" spans="1:37" x14ac:dyDescent="0.3">
      <c r="A431" t="s">
        <v>86</v>
      </c>
      <c r="B431" s="1">
        <v>2014</v>
      </c>
      <c r="C431" s="1" t="str">
        <f t="shared" si="29"/>
        <v>Washington, 2014</v>
      </c>
      <c r="D431" s="27">
        <v>100</v>
      </c>
      <c r="E431" s="27">
        <v>42</v>
      </c>
      <c r="F431" s="27">
        <v>69</v>
      </c>
      <c r="G431" s="27">
        <v>64</v>
      </c>
      <c r="H431" s="27">
        <v>69</v>
      </c>
      <c r="I431" s="27">
        <v>60</v>
      </c>
      <c r="J431" s="27">
        <v>69</v>
      </c>
      <c r="K431" s="27">
        <v>93</v>
      </c>
      <c r="L431" s="27">
        <v>143</v>
      </c>
      <c r="M431" s="27">
        <v>329</v>
      </c>
      <c r="N431" s="27">
        <v>59</v>
      </c>
      <c r="O431" s="28">
        <v>1097</v>
      </c>
      <c r="P431" s="29">
        <v>444668.22199999995</v>
      </c>
      <c r="Q431" s="30">
        <v>879815.11300000001</v>
      </c>
      <c r="R431" s="30">
        <v>924923.9939999996</v>
      </c>
      <c r="S431" s="30">
        <v>978479.07099999988</v>
      </c>
      <c r="T431" s="30">
        <v>912735.58800000022</v>
      </c>
      <c r="U431" s="30">
        <v>963647.00699999998</v>
      </c>
      <c r="V431" s="30">
        <v>879948.09299999999</v>
      </c>
      <c r="W431" s="30">
        <v>521783.4040000001</v>
      </c>
      <c r="X431" s="30">
        <v>262628.70899999997</v>
      </c>
      <c r="Y431" s="30">
        <v>123225.58500000001</v>
      </c>
      <c r="Z431" s="31">
        <v>6894493</v>
      </c>
      <c r="AA431" s="32">
        <f t="shared" si="28"/>
        <v>2.2488676962393776E-4</v>
      </c>
      <c r="AB431" s="32">
        <f t="shared" si="28"/>
        <v>4.7737302280234867E-5</v>
      </c>
      <c r="AC431" s="32">
        <f t="shared" si="28"/>
        <v>7.4600724435309684E-5</v>
      </c>
      <c r="AD431" s="32">
        <f t="shared" si="28"/>
        <v>6.5407633026419646E-5</v>
      </c>
      <c r="AE431" s="32">
        <f t="shared" si="28"/>
        <v>7.5596920846697586E-5</v>
      </c>
      <c r="AF431" s="32">
        <f t="shared" si="27"/>
        <v>6.2263463243444699E-5</v>
      </c>
      <c r="AG431" s="32">
        <f t="shared" si="27"/>
        <v>7.8413716159959904E-5</v>
      </c>
      <c r="AH431" s="32">
        <f t="shared" si="27"/>
        <v>1.7823487540435452E-4</v>
      </c>
      <c r="AI431" s="32">
        <f t="shared" si="27"/>
        <v>5.4449492800880356E-4</v>
      </c>
      <c r="AJ431" s="32">
        <f t="shared" si="27"/>
        <v>2.6699000860900758E-3</v>
      </c>
      <c r="AK431" s="33">
        <f t="shared" si="30"/>
        <v>1.5911249746718143E-4</v>
      </c>
    </row>
    <row r="432" spans="1:37" x14ac:dyDescent="0.3">
      <c r="A432" t="s">
        <v>86</v>
      </c>
      <c r="B432" s="1">
        <v>2015</v>
      </c>
      <c r="C432" s="1" t="str">
        <f t="shared" si="29"/>
        <v>Washington, 2015</v>
      </c>
      <c r="D432" s="27">
        <v>103</v>
      </c>
      <c r="E432" s="27">
        <v>63</v>
      </c>
      <c r="F432" s="27">
        <v>58</v>
      </c>
      <c r="G432" s="27">
        <v>43</v>
      </c>
      <c r="H432" s="27">
        <v>63</v>
      </c>
      <c r="I432" s="27">
        <v>62</v>
      </c>
      <c r="J432" s="27">
        <v>48</v>
      </c>
      <c r="K432" s="27">
        <v>109</v>
      </c>
      <c r="L432" s="27">
        <v>171</v>
      </c>
      <c r="M432" s="27">
        <v>436</v>
      </c>
      <c r="N432" s="27">
        <v>62</v>
      </c>
      <c r="O432" s="28">
        <v>1218</v>
      </c>
      <c r="P432" s="29">
        <v>425124.89299999992</v>
      </c>
      <c r="Q432" s="30">
        <v>843546.37900000019</v>
      </c>
      <c r="R432" s="30">
        <v>885144.42500000016</v>
      </c>
      <c r="S432" s="30">
        <v>963622.77100000007</v>
      </c>
      <c r="T432" s="30">
        <v>885289.70499999996</v>
      </c>
      <c r="U432" s="30">
        <v>913921.49999999977</v>
      </c>
      <c r="V432" s="30">
        <v>849495.61800000013</v>
      </c>
      <c r="W432" s="30">
        <v>520472.94300000003</v>
      </c>
      <c r="X432" s="30">
        <v>253044.14300000007</v>
      </c>
      <c r="Y432" s="30">
        <v>119933.531</v>
      </c>
      <c r="Z432" s="31">
        <v>6661778</v>
      </c>
      <c r="AA432" s="32">
        <f t="shared" si="28"/>
        <v>2.4228174283833344E-4</v>
      </c>
      <c r="AB432" s="32">
        <f t="shared" si="28"/>
        <v>7.4684690217845137E-5</v>
      </c>
      <c r="AC432" s="32">
        <f t="shared" si="28"/>
        <v>6.5526029834057854E-5</v>
      </c>
      <c r="AD432" s="32">
        <f t="shared" si="28"/>
        <v>4.4623270945929107E-5</v>
      </c>
      <c r="AE432" s="32">
        <f t="shared" si="28"/>
        <v>7.1163145402216102E-5</v>
      </c>
      <c r="AF432" s="32">
        <f t="shared" si="27"/>
        <v>6.7839524510584351E-5</v>
      </c>
      <c r="AG432" s="32">
        <f t="shared" si="27"/>
        <v>5.6504117246664824E-5</v>
      </c>
      <c r="AH432" s="32">
        <f t="shared" si="27"/>
        <v>2.094249114502E-4</v>
      </c>
      <c r="AI432" s="32">
        <f t="shared" si="27"/>
        <v>6.7577142064102215E-4</v>
      </c>
      <c r="AJ432" s="32">
        <f t="shared" si="27"/>
        <v>3.6353469823213994E-3</v>
      </c>
      <c r="AK432" s="33">
        <f t="shared" si="30"/>
        <v>1.8283407222516272E-4</v>
      </c>
    </row>
    <row r="433" spans="1:37" x14ac:dyDescent="0.3">
      <c r="A433" t="s">
        <v>86</v>
      </c>
      <c r="B433" s="1">
        <v>2016</v>
      </c>
      <c r="C433" s="1" t="str">
        <f t="shared" si="29"/>
        <v>Washington, 2016</v>
      </c>
      <c r="D433" s="27">
        <v>114</v>
      </c>
      <c r="E433" s="27">
        <v>53</v>
      </c>
      <c r="F433" s="27">
        <v>42</v>
      </c>
      <c r="G433" s="27">
        <v>46</v>
      </c>
      <c r="H433" s="27">
        <v>48</v>
      </c>
      <c r="I433" s="27">
        <v>39</v>
      </c>
      <c r="J433" s="27">
        <v>76</v>
      </c>
      <c r="K433" s="27">
        <v>109</v>
      </c>
      <c r="L433" s="27">
        <v>169</v>
      </c>
      <c r="M433" s="27">
        <v>365</v>
      </c>
      <c r="N433" s="27">
        <v>67</v>
      </c>
      <c r="O433" s="28">
        <v>1128</v>
      </c>
      <c r="P433" s="29">
        <v>440558.06500000006</v>
      </c>
      <c r="Q433" s="30">
        <v>876615.03600000008</v>
      </c>
      <c r="R433" s="30">
        <v>918993.85799999977</v>
      </c>
      <c r="S433" s="30">
        <v>1010234.338</v>
      </c>
      <c r="T433" s="30">
        <v>910928.27700000012</v>
      </c>
      <c r="U433" s="30">
        <v>940820.53400000022</v>
      </c>
      <c r="V433" s="30">
        <v>897061.45</v>
      </c>
      <c r="W433" s="30">
        <v>573990.17900000012</v>
      </c>
      <c r="X433" s="30">
        <v>269783.45299999998</v>
      </c>
      <c r="Y433" s="30">
        <v>123834.977</v>
      </c>
      <c r="Z433" s="31">
        <v>6962621</v>
      </c>
      <c r="AA433" s="32">
        <f t="shared" si="28"/>
        <v>2.587627126971333E-4</v>
      </c>
      <c r="AB433" s="32">
        <f t="shared" si="28"/>
        <v>6.0459834503682863E-5</v>
      </c>
      <c r="AC433" s="32">
        <f t="shared" si="28"/>
        <v>4.5702155280345748E-5</v>
      </c>
      <c r="AD433" s="32">
        <f t="shared" si="28"/>
        <v>4.5533989758324764E-5</v>
      </c>
      <c r="AE433" s="32">
        <f t="shared" si="28"/>
        <v>5.2693500917635908E-5</v>
      </c>
      <c r="AF433" s="32">
        <f t="shared" si="27"/>
        <v>4.1453176871243743E-5</v>
      </c>
      <c r="AG433" s="32">
        <f t="shared" si="27"/>
        <v>8.47210634232471E-5</v>
      </c>
      <c r="AH433" s="32">
        <f t="shared" si="27"/>
        <v>1.8989871950404917E-4</v>
      </c>
      <c r="AI433" s="32">
        <f t="shared" si="27"/>
        <v>6.2642833769349085E-4</v>
      </c>
      <c r="AJ433" s="32">
        <f t="shared" si="27"/>
        <v>2.947470971791758E-3</v>
      </c>
      <c r="AK433" s="33">
        <f t="shared" si="30"/>
        <v>1.6200795648650129E-4</v>
      </c>
    </row>
    <row r="434" spans="1:37" x14ac:dyDescent="0.3">
      <c r="A434" t="s">
        <v>86</v>
      </c>
      <c r="B434" s="1">
        <v>2017</v>
      </c>
      <c r="C434" s="1" t="str">
        <f t="shared" si="29"/>
        <v>Washington, 2017</v>
      </c>
      <c r="D434" s="27">
        <v>145</v>
      </c>
      <c r="E434" s="27">
        <v>44</v>
      </c>
      <c r="F434" s="27">
        <v>54</v>
      </c>
      <c r="G434" s="27">
        <v>65</v>
      </c>
      <c r="H434" s="27">
        <v>53</v>
      </c>
      <c r="I434" s="27">
        <v>63</v>
      </c>
      <c r="J434" s="27">
        <v>88</v>
      </c>
      <c r="K434" s="27">
        <v>145</v>
      </c>
      <c r="L434" s="27">
        <v>236</v>
      </c>
      <c r="M434" s="27">
        <v>488</v>
      </c>
      <c r="N434" s="27">
        <v>64</v>
      </c>
      <c r="O434" s="28">
        <v>1445</v>
      </c>
      <c r="P434" s="29">
        <v>434326</v>
      </c>
      <c r="Q434" s="30">
        <v>870259</v>
      </c>
      <c r="R434" s="30">
        <v>902833</v>
      </c>
      <c r="S434" s="30">
        <v>1028970</v>
      </c>
      <c r="T434" s="30">
        <v>916865</v>
      </c>
      <c r="U434" s="30">
        <v>927730</v>
      </c>
      <c r="V434" s="30">
        <v>900804</v>
      </c>
      <c r="W434" s="30">
        <v>597515</v>
      </c>
      <c r="X434" s="30">
        <v>272606</v>
      </c>
      <c r="Y434" s="30">
        <v>123532</v>
      </c>
      <c r="Z434" s="31">
        <v>6975440</v>
      </c>
      <c r="AA434" s="32">
        <f t="shared" si="28"/>
        <v>3.3385060991052802E-4</v>
      </c>
      <c r="AB434" s="32">
        <f t="shared" si="28"/>
        <v>5.0559660974491504E-5</v>
      </c>
      <c r="AC434" s="32">
        <f t="shared" si="28"/>
        <v>5.9811725978115555E-5</v>
      </c>
      <c r="AD434" s="32">
        <f t="shared" si="28"/>
        <v>6.3169966082587441E-5</v>
      </c>
      <c r="AE434" s="32">
        <f t="shared" si="28"/>
        <v>5.7805674772185657E-5</v>
      </c>
      <c r="AF434" s="32">
        <f t="shared" si="27"/>
        <v>6.7907688659415991E-5</v>
      </c>
      <c r="AG434" s="32">
        <f t="shared" si="27"/>
        <v>9.7690507590996492E-5</v>
      </c>
      <c r="AH434" s="32">
        <f t="shared" si="27"/>
        <v>2.4267173209040777E-4</v>
      </c>
      <c r="AI434" s="32">
        <f t="shared" si="27"/>
        <v>8.6571828939935292E-4</v>
      </c>
      <c r="AJ434" s="32">
        <f t="shared" si="27"/>
        <v>3.9503934203283363E-3</v>
      </c>
      <c r="AK434" s="33">
        <f t="shared" si="30"/>
        <v>2.0715539091440826E-4</v>
      </c>
    </row>
    <row r="435" spans="1:37" x14ac:dyDescent="0.3">
      <c r="A435" t="s">
        <v>87</v>
      </c>
      <c r="B435" s="1">
        <v>2009</v>
      </c>
      <c r="C435" s="1" t="str">
        <f t="shared" si="29"/>
        <v>West Virginia, 2009</v>
      </c>
      <c r="D435" s="27">
        <v>137</v>
      </c>
      <c r="E435" s="27">
        <v>43</v>
      </c>
      <c r="F435" s="27">
        <v>34</v>
      </c>
      <c r="G435" s="27">
        <v>49</v>
      </c>
      <c r="H435" s="27">
        <v>56</v>
      </c>
      <c r="I435" s="27">
        <v>48</v>
      </c>
      <c r="J435" s="27">
        <v>63</v>
      </c>
      <c r="K435" s="27">
        <v>54</v>
      </c>
      <c r="L435" s="27">
        <v>126</v>
      </c>
      <c r="M435" s="27">
        <v>174</v>
      </c>
      <c r="N435" s="27">
        <v>38</v>
      </c>
      <c r="O435" s="28">
        <v>822</v>
      </c>
      <c r="P435" s="29">
        <v>103052.72900000001</v>
      </c>
      <c r="Q435" s="30">
        <v>207112.391</v>
      </c>
      <c r="R435" s="30">
        <v>235779.26299999995</v>
      </c>
      <c r="S435" s="30">
        <v>217248.19099999993</v>
      </c>
      <c r="T435" s="30">
        <v>236580.52999999997</v>
      </c>
      <c r="U435" s="30">
        <v>268575.61499999993</v>
      </c>
      <c r="V435" s="30">
        <v>228272.58100000012</v>
      </c>
      <c r="W435" s="30">
        <v>143809.76699999999</v>
      </c>
      <c r="X435" s="30">
        <v>96775.189999999988</v>
      </c>
      <c r="Y435" s="30">
        <v>35053.653000000013</v>
      </c>
      <c r="Z435" s="31">
        <v>1771937</v>
      </c>
      <c r="AA435" s="32">
        <f t="shared" si="28"/>
        <v>1.3294165164709029E-3</v>
      </c>
      <c r="AB435" s="32">
        <f t="shared" si="28"/>
        <v>2.0761674273752167E-4</v>
      </c>
      <c r="AC435" s="32">
        <f t="shared" si="28"/>
        <v>1.4420267315875022E-4</v>
      </c>
      <c r="AD435" s="32">
        <f t="shared" si="28"/>
        <v>2.2554848339335546E-4</v>
      </c>
      <c r="AE435" s="32">
        <f t="shared" si="28"/>
        <v>2.3670586924460778E-4</v>
      </c>
      <c r="AF435" s="32">
        <f t="shared" si="27"/>
        <v>1.7872061840014779E-4</v>
      </c>
      <c r="AG435" s="32">
        <f t="shared" si="27"/>
        <v>2.7598583992879971E-4</v>
      </c>
      <c r="AH435" s="32">
        <f t="shared" si="27"/>
        <v>3.7549605375551443E-4</v>
      </c>
      <c r="AI435" s="32">
        <f t="shared" si="27"/>
        <v>1.3019865938780385E-3</v>
      </c>
      <c r="AJ435" s="32">
        <f t="shared" si="27"/>
        <v>4.9638193200577394E-3</v>
      </c>
      <c r="AK435" s="33">
        <f t="shared" si="30"/>
        <v>4.6389911153726118E-4</v>
      </c>
    </row>
    <row r="436" spans="1:37" x14ac:dyDescent="0.3">
      <c r="A436" t="s">
        <v>87</v>
      </c>
      <c r="B436" s="1">
        <v>2010</v>
      </c>
      <c r="C436" s="1" t="str">
        <f t="shared" si="29"/>
        <v>West Virginia, 2010</v>
      </c>
      <c r="D436" s="27">
        <v>98</v>
      </c>
      <c r="E436" s="27">
        <v>49</v>
      </c>
      <c r="F436" s="27">
        <v>58</v>
      </c>
      <c r="G436" s="27">
        <v>66</v>
      </c>
      <c r="H436" s="27">
        <v>64</v>
      </c>
      <c r="I436" s="27">
        <v>61</v>
      </c>
      <c r="J436" s="27">
        <v>60</v>
      </c>
      <c r="K436" s="27">
        <v>40</v>
      </c>
      <c r="L436" s="27">
        <v>114</v>
      </c>
      <c r="M436" s="27">
        <v>186</v>
      </c>
      <c r="N436" s="27">
        <v>57</v>
      </c>
      <c r="O436" s="28">
        <v>853</v>
      </c>
      <c r="P436" s="29">
        <v>100634.228</v>
      </c>
      <c r="Q436" s="30">
        <v>207473.59799999997</v>
      </c>
      <c r="R436" s="30">
        <v>233400.67899999997</v>
      </c>
      <c r="S436" s="30">
        <v>212081.04799999998</v>
      </c>
      <c r="T436" s="30">
        <v>232941.18200000003</v>
      </c>
      <c r="U436" s="30">
        <v>268450.62700000004</v>
      </c>
      <c r="V436" s="30">
        <v>238063.04499999995</v>
      </c>
      <c r="W436" s="30">
        <v>149435.17500000002</v>
      </c>
      <c r="X436" s="30">
        <v>95109.906000000003</v>
      </c>
      <c r="Y436" s="30">
        <v>34176.514000000003</v>
      </c>
      <c r="Z436" s="31">
        <v>1771651</v>
      </c>
      <c r="AA436" s="32">
        <f t="shared" si="28"/>
        <v>9.7382373718810664E-4</v>
      </c>
      <c r="AB436" s="32">
        <f t="shared" si="28"/>
        <v>2.3617462883156827E-4</v>
      </c>
      <c r="AC436" s="32">
        <f t="shared" si="28"/>
        <v>2.4849970552142227E-4</v>
      </c>
      <c r="AD436" s="32">
        <f t="shared" si="28"/>
        <v>3.1120178168866843E-4</v>
      </c>
      <c r="AE436" s="32">
        <f t="shared" si="28"/>
        <v>2.7474746822569139E-4</v>
      </c>
      <c r="AF436" s="32">
        <f t="shared" si="27"/>
        <v>2.2722986599692311E-4</v>
      </c>
      <c r="AG436" s="32">
        <f t="shared" si="27"/>
        <v>2.5203407777969072E-4</v>
      </c>
      <c r="AH436" s="32">
        <f t="shared" si="27"/>
        <v>2.6767459535547767E-4</v>
      </c>
      <c r="AI436" s="32">
        <f t="shared" si="27"/>
        <v>1.1986133179439794E-3</v>
      </c>
      <c r="AJ436" s="32">
        <f t="shared" si="27"/>
        <v>5.4423338787566219E-3</v>
      </c>
      <c r="AK436" s="33">
        <f t="shared" si="30"/>
        <v>4.8147180229063174E-4</v>
      </c>
    </row>
    <row r="437" spans="1:37" x14ac:dyDescent="0.3">
      <c r="A437" t="s">
        <v>87</v>
      </c>
      <c r="B437" s="1">
        <v>2011</v>
      </c>
      <c r="C437" s="1" t="str">
        <f t="shared" si="29"/>
        <v>West Virginia, 2011</v>
      </c>
      <c r="D437" s="27">
        <v>115</v>
      </c>
      <c r="E437" s="27">
        <v>67</v>
      </c>
      <c r="F437" s="27">
        <v>63</v>
      </c>
      <c r="G437" s="27">
        <v>48</v>
      </c>
      <c r="H437" s="27">
        <v>40</v>
      </c>
      <c r="I437" s="27">
        <v>67</v>
      </c>
      <c r="J437" s="27">
        <v>65</v>
      </c>
      <c r="K437" s="27">
        <v>79</v>
      </c>
      <c r="L437" s="27">
        <v>117</v>
      </c>
      <c r="M437" s="27">
        <v>160</v>
      </c>
      <c r="N437" s="27">
        <v>55</v>
      </c>
      <c r="O437" s="28">
        <v>876</v>
      </c>
      <c r="P437" s="29">
        <v>96984.424000000014</v>
      </c>
      <c r="Q437" s="30">
        <v>198917.22599999997</v>
      </c>
      <c r="R437" s="30">
        <v>224664.359</v>
      </c>
      <c r="S437" s="30">
        <v>204237.26599999992</v>
      </c>
      <c r="T437" s="30">
        <v>220165.11500000002</v>
      </c>
      <c r="U437" s="30">
        <v>254870.38100000002</v>
      </c>
      <c r="V437" s="30">
        <v>237264.83299999998</v>
      </c>
      <c r="W437" s="30">
        <v>148633.46799999996</v>
      </c>
      <c r="X437" s="30">
        <v>92471.065999999977</v>
      </c>
      <c r="Y437" s="30">
        <v>34439.434000000001</v>
      </c>
      <c r="Z437" s="31">
        <v>1713552</v>
      </c>
      <c r="AA437" s="32">
        <f t="shared" si="28"/>
        <v>1.1857574160568298E-3</v>
      </c>
      <c r="AB437" s="32">
        <f t="shared" si="28"/>
        <v>3.3682351874341951E-4</v>
      </c>
      <c r="AC437" s="32">
        <f t="shared" si="28"/>
        <v>2.8041831058748395E-4</v>
      </c>
      <c r="AD437" s="32">
        <f t="shared" si="28"/>
        <v>2.3502077235992779E-4</v>
      </c>
      <c r="AE437" s="32">
        <f t="shared" si="28"/>
        <v>1.8168182547902739E-4</v>
      </c>
      <c r="AF437" s="32">
        <f t="shared" ref="AF437:AJ461" si="31">I437/U437</f>
        <v>2.6287872187078496E-4</v>
      </c>
      <c r="AG437" s="32">
        <f t="shared" si="31"/>
        <v>2.7395547489332311E-4</v>
      </c>
      <c r="AH437" s="32">
        <f t="shared" si="31"/>
        <v>5.3150882545511234E-4</v>
      </c>
      <c r="AI437" s="32">
        <f t="shared" si="31"/>
        <v>1.2652606383925544E-3</v>
      </c>
      <c r="AJ437" s="32">
        <f t="shared" si="31"/>
        <v>4.6458370947675852E-3</v>
      </c>
      <c r="AK437" s="33">
        <f t="shared" si="30"/>
        <v>5.1121880164710495E-4</v>
      </c>
    </row>
    <row r="438" spans="1:37" x14ac:dyDescent="0.3">
      <c r="A438" t="s">
        <v>87</v>
      </c>
      <c r="B438" s="1">
        <v>2012</v>
      </c>
      <c r="C438" s="1" t="str">
        <f t="shared" si="29"/>
        <v>West Virginia, 2012</v>
      </c>
      <c r="D438" s="27">
        <v>126</v>
      </c>
      <c r="E438" s="27">
        <v>47</v>
      </c>
      <c r="F438" s="27">
        <v>51</v>
      </c>
      <c r="G438" s="27">
        <v>62</v>
      </c>
      <c r="H438" s="27">
        <v>54</v>
      </c>
      <c r="I438" s="27">
        <v>52</v>
      </c>
      <c r="J438" s="27">
        <v>63</v>
      </c>
      <c r="K438" s="27">
        <v>49</v>
      </c>
      <c r="L438" s="27">
        <v>124</v>
      </c>
      <c r="M438" s="27">
        <v>170</v>
      </c>
      <c r="N438" s="27">
        <v>65</v>
      </c>
      <c r="O438" s="28">
        <v>863</v>
      </c>
      <c r="P438" s="29">
        <v>95636.756999999983</v>
      </c>
      <c r="Q438" s="30">
        <v>195990.67100000003</v>
      </c>
      <c r="R438" s="30">
        <v>217906.06799999997</v>
      </c>
      <c r="S438" s="30">
        <v>199495.54500000004</v>
      </c>
      <c r="T438" s="30">
        <v>213853.89</v>
      </c>
      <c r="U438" s="30">
        <v>243590.64499999999</v>
      </c>
      <c r="V438" s="30">
        <v>231941.92500000005</v>
      </c>
      <c r="W438" s="30">
        <v>145939.61399999994</v>
      </c>
      <c r="X438" s="30">
        <v>86468.382000000012</v>
      </c>
      <c r="Y438" s="30">
        <v>33043.387999999999</v>
      </c>
      <c r="Z438" s="31">
        <v>1664135</v>
      </c>
      <c r="AA438" s="32">
        <f t="shared" ref="AA438:AE461" si="32">D438/P438</f>
        <v>1.3174850753251705E-3</v>
      </c>
      <c r="AB438" s="32">
        <f t="shared" si="32"/>
        <v>2.3980733246226803E-4</v>
      </c>
      <c r="AC438" s="32">
        <f t="shared" si="32"/>
        <v>2.3404579995450154E-4</v>
      </c>
      <c r="AD438" s="32">
        <f t="shared" si="32"/>
        <v>3.1078388241702332E-4</v>
      </c>
      <c r="AE438" s="32">
        <f t="shared" si="32"/>
        <v>2.5250885078592676E-4</v>
      </c>
      <c r="AF438" s="32">
        <f t="shared" si="31"/>
        <v>2.1347289424846345E-4</v>
      </c>
      <c r="AG438" s="32">
        <f t="shared" si="31"/>
        <v>2.7161971687524793E-4</v>
      </c>
      <c r="AH438" s="32">
        <f t="shared" si="31"/>
        <v>3.3575530767129494E-4</v>
      </c>
      <c r="AI438" s="32">
        <f t="shared" si="31"/>
        <v>1.4340501942085603E-3</v>
      </c>
      <c r="AJ438" s="32">
        <f t="shared" si="31"/>
        <v>5.1447508953984984E-3</v>
      </c>
      <c r="AK438" s="33">
        <f t="shared" si="30"/>
        <v>5.185877347691143E-4</v>
      </c>
    </row>
    <row r="439" spans="1:37" x14ac:dyDescent="0.3">
      <c r="A439" t="s">
        <v>87</v>
      </c>
      <c r="B439" s="1">
        <v>2013</v>
      </c>
      <c r="C439" s="1" t="str">
        <f t="shared" si="29"/>
        <v>West Virginia, 2013</v>
      </c>
      <c r="D439" s="27">
        <v>106</v>
      </c>
      <c r="E439" s="27">
        <v>77</v>
      </c>
      <c r="F439" s="27">
        <v>54</v>
      </c>
      <c r="G439" s="27">
        <v>52</v>
      </c>
      <c r="H439" s="27">
        <v>56</v>
      </c>
      <c r="I439" s="27">
        <v>47</v>
      </c>
      <c r="J439" s="27">
        <v>51</v>
      </c>
      <c r="K439" s="27">
        <v>67</v>
      </c>
      <c r="L439" s="27">
        <v>109</v>
      </c>
      <c r="M439" s="27">
        <v>205</v>
      </c>
      <c r="N439" s="27">
        <v>58</v>
      </c>
      <c r="O439" s="28">
        <v>882</v>
      </c>
      <c r="P439" s="29">
        <v>95401.061999999991</v>
      </c>
      <c r="Q439" s="30">
        <v>198515.48000000004</v>
      </c>
      <c r="R439" s="30">
        <v>219694.03099999999</v>
      </c>
      <c r="S439" s="30">
        <v>203842.04099999994</v>
      </c>
      <c r="T439" s="30">
        <v>218517.45499999999</v>
      </c>
      <c r="U439" s="30">
        <v>250677.77199999991</v>
      </c>
      <c r="V439" s="30">
        <v>246737.94399999999</v>
      </c>
      <c r="W439" s="30">
        <v>153925.66800000003</v>
      </c>
      <c r="X439" s="30">
        <v>88162.944000000003</v>
      </c>
      <c r="Y439" s="30">
        <v>33131.28899999999</v>
      </c>
      <c r="Z439" s="31">
        <v>1709544</v>
      </c>
      <c r="AA439" s="32">
        <f t="shared" si="32"/>
        <v>1.1110987422760558E-3</v>
      </c>
      <c r="AB439" s="32">
        <f t="shared" si="32"/>
        <v>3.8787907119384335E-4</v>
      </c>
      <c r="AC439" s="32">
        <f t="shared" si="32"/>
        <v>2.4579639125470827E-4</v>
      </c>
      <c r="AD439" s="32">
        <f t="shared" si="32"/>
        <v>2.5509948656764095E-4</v>
      </c>
      <c r="AE439" s="32">
        <f t="shared" si="32"/>
        <v>2.5627243370558202E-4</v>
      </c>
      <c r="AF439" s="32">
        <f t="shared" si="31"/>
        <v>1.8749169351959941E-4</v>
      </c>
      <c r="AG439" s="32">
        <f t="shared" si="31"/>
        <v>2.0669702913630504E-4</v>
      </c>
      <c r="AH439" s="32">
        <f t="shared" si="31"/>
        <v>4.3527503158212694E-4</v>
      </c>
      <c r="AI439" s="32">
        <f t="shared" si="31"/>
        <v>1.2363470983909066E-3</v>
      </c>
      <c r="AJ439" s="32">
        <f t="shared" si="31"/>
        <v>6.1875045066915463E-3</v>
      </c>
      <c r="AK439" s="33">
        <f t="shared" si="30"/>
        <v>5.1592705423200572E-4</v>
      </c>
    </row>
    <row r="440" spans="1:37" x14ac:dyDescent="0.3">
      <c r="A440" t="s">
        <v>87</v>
      </c>
      <c r="B440" s="1">
        <v>2014</v>
      </c>
      <c r="C440" s="1" t="str">
        <f t="shared" si="29"/>
        <v>West Virginia, 2014</v>
      </c>
      <c r="D440" s="27">
        <v>104</v>
      </c>
      <c r="E440" s="27">
        <v>53</v>
      </c>
      <c r="F440" s="27">
        <v>50</v>
      </c>
      <c r="G440" s="27">
        <v>59</v>
      </c>
      <c r="H440" s="27">
        <v>49</v>
      </c>
      <c r="I440" s="27">
        <v>74</v>
      </c>
      <c r="J440" s="27">
        <v>78</v>
      </c>
      <c r="K440" s="27">
        <v>64</v>
      </c>
      <c r="L440" s="27">
        <v>97</v>
      </c>
      <c r="M440" s="27">
        <v>180</v>
      </c>
      <c r="N440" s="27">
        <v>51</v>
      </c>
      <c r="O440" s="28">
        <v>859</v>
      </c>
      <c r="P440" s="29">
        <v>92903.736000000004</v>
      </c>
      <c r="Q440" s="30">
        <v>192095.48399999991</v>
      </c>
      <c r="R440" s="30">
        <v>212098.696</v>
      </c>
      <c r="S440" s="30">
        <v>196813.62299999991</v>
      </c>
      <c r="T440" s="30">
        <v>206064.32399999999</v>
      </c>
      <c r="U440" s="30">
        <v>232081.52399999998</v>
      </c>
      <c r="V440" s="30">
        <v>239473.79200000007</v>
      </c>
      <c r="W440" s="30">
        <v>154385.85999999999</v>
      </c>
      <c r="X440" s="30">
        <v>86438.265000000014</v>
      </c>
      <c r="Y440" s="30">
        <v>33680.550000000003</v>
      </c>
      <c r="Z440" s="31">
        <v>1646353</v>
      </c>
      <c r="AA440" s="32">
        <f t="shared" si="32"/>
        <v>1.119438296862464E-3</v>
      </c>
      <c r="AB440" s="32">
        <f t="shared" si="32"/>
        <v>2.7590445593192616E-4</v>
      </c>
      <c r="AC440" s="32">
        <f t="shared" si="32"/>
        <v>2.3573930883573184E-4</v>
      </c>
      <c r="AD440" s="32">
        <f t="shared" si="32"/>
        <v>2.9977599670526889E-4</v>
      </c>
      <c r="AE440" s="32">
        <f t="shared" si="32"/>
        <v>2.3778982721919396E-4</v>
      </c>
      <c r="AF440" s="32">
        <f t="shared" si="31"/>
        <v>3.188534732303809E-4</v>
      </c>
      <c r="AG440" s="32">
        <f t="shared" si="31"/>
        <v>3.2571413910713023E-4</v>
      </c>
      <c r="AH440" s="32">
        <f t="shared" si="31"/>
        <v>4.1454573624812534E-4</v>
      </c>
      <c r="AI440" s="32">
        <f t="shared" si="31"/>
        <v>1.1221881882983189E-3</v>
      </c>
      <c r="AJ440" s="32">
        <f t="shared" si="31"/>
        <v>5.3443307784463139E-3</v>
      </c>
      <c r="AK440" s="33">
        <f t="shared" si="30"/>
        <v>5.2175930678293174E-4</v>
      </c>
    </row>
    <row r="441" spans="1:37" x14ac:dyDescent="0.3">
      <c r="A441" t="s">
        <v>87</v>
      </c>
      <c r="B441" s="1">
        <v>2015</v>
      </c>
      <c r="C441" s="1" t="str">
        <f t="shared" si="29"/>
        <v>West Virginia, 2015</v>
      </c>
      <c r="D441" s="27">
        <v>102</v>
      </c>
      <c r="E441" s="27">
        <v>63</v>
      </c>
      <c r="F441" s="27">
        <v>39</v>
      </c>
      <c r="G441" s="27">
        <v>55</v>
      </c>
      <c r="H441" s="27">
        <v>49</v>
      </c>
      <c r="I441" s="27">
        <v>51</v>
      </c>
      <c r="J441" s="27">
        <v>57</v>
      </c>
      <c r="K441" s="27">
        <v>84</v>
      </c>
      <c r="L441" s="27">
        <v>107</v>
      </c>
      <c r="M441" s="27">
        <v>208</v>
      </c>
      <c r="N441" s="27">
        <v>58</v>
      </c>
      <c r="O441" s="28">
        <v>873</v>
      </c>
      <c r="P441" s="29">
        <v>86196.531999999992</v>
      </c>
      <c r="Q441" s="30">
        <v>176696.13799999998</v>
      </c>
      <c r="R441" s="30">
        <v>202312.24300000005</v>
      </c>
      <c r="S441" s="30">
        <v>184232.08800000002</v>
      </c>
      <c r="T441" s="30">
        <v>190640.592</v>
      </c>
      <c r="U441" s="30">
        <v>211116.31300000002</v>
      </c>
      <c r="V441" s="30">
        <v>221193.69199999998</v>
      </c>
      <c r="W441" s="30">
        <v>148361.53199999998</v>
      </c>
      <c r="X441" s="30">
        <v>80095.83</v>
      </c>
      <c r="Y441" s="30">
        <v>32793.330999999998</v>
      </c>
      <c r="Z441" s="31">
        <v>1533209</v>
      </c>
      <c r="AA441" s="32">
        <f t="shared" si="32"/>
        <v>1.1833422718213304E-3</v>
      </c>
      <c r="AB441" s="32">
        <f t="shared" si="32"/>
        <v>3.5654429526920392E-4</v>
      </c>
      <c r="AC441" s="32">
        <f t="shared" si="32"/>
        <v>1.9277132921708545E-4</v>
      </c>
      <c r="AD441" s="32">
        <f t="shared" si="32"/>
        <v>2.9853648513173227E-4</v>
      </c>
      <c r="AE441" s="32">
        <f t="shared" si="32"/>
        <v>2.570281569415185E-4</v>
      </c>
      <c r="AF441" s="32">
        <f t="shared" si="31"/>
        <v>2.4157299488268344E-4</v>
      </c>
      <c r="AG441" s="32">
        <f t="shared" si="31"/>
        <v>2.5769270129095728E-4</v>
      </c>
      <c r="AH441" s="32">
        <f t="shared" si="31"/>
        <v>5.6618450124928618E-4</v>
      </c>
      <c r="AI441" s="32">
        <f t="shared" si="31"/>
        <v>1.3358997590760967E-3</v>
      </c>
      <c r="AJ441" s="32">
        <f t="shared" si="31"/>
        <v>6.3427530432940771E-3</v>
      </c>
      <c r="AK441" s="33">
        <f t="shared" si="30"/>
        <v>5.6939399651319549E-4</v>
      </c>
    </row>
    <row r="442" spans="1:37" x14ac:dyDescent="0.3">
      <c r="A442" t="s">
        <v>87</v>
      </c>
      <c r="B442" s="1">
        <v>2016</v>
      </c>
      <c r="C442" s="1" t="str">
        <f t="shared" si="29"/>
        <v>West Virginia, 2016</v>
      </c>
      <c r="D442" s="27">
        <v>95</v>
      </c>
      <c r="E442" s="27">
        <v>75</v>
      </c>
      <c r="F442" s="27">
        <v>56</v>
      </c>
      <c r="G442" s="27">
        <v>72</v>
      </c>
      <c r="H442" s="27">
        <v>56</v>
      </c>
      <c r="I442" s="27">
        <v>40</v>
      </c>
      <c r="J442" s="27">
        <v>69</v>
      </c>
      <c r="K442" s="27">
        <v>58</v>
      </c>
      <c r="L442" s="27">
        <v>77</v>
      </c>
      <c r="M442" s="27">
        <v>157</v>
      </c>
      <c r="N442" s="27">
        <v>53</v>
      </c>
      <c r="O442" s="28">
        <v>808</v>
      </c>
      <c r="P442" s="29">
        <v>94244.997000000032</v>
      </c>
      <c r="Q442" s="30">
        <v>195203.00900000002</v>
      </c>
      <c r="R442" s="30">
        <v>217349.11100000003</v>
      </c>
      <c r="S442" s="30">
        <v>201708.05200000005</v>
      </c>
      <c r="T442" s="30">
        <v>207170.62099999998</v>
      </c>
      <c r="U442" s="30">
        <v>228535.36899999992</v>
      </c>
      <c r="V442" s="30">
        <v>243607.19100000002</v>
      </c>
      <c r="W442" s="30">
        <v>171058.24599999993</v>
      </c>
      <c r="X442" s="30">
        <v>89242.536000000007</v>
      </c>
      <c r="Y442" s="30">
        <v>34805.420999999988</v>
      </c>
      <c r="Z442" s="31">
        <v>1683216</v>
      </c>
      <c r="AA442" s="32">
        <f t="shared" si="32"/>
        <v>1.0080110671551081E-3</v>
      </c>
      <c r="AB442" s="32">
        <f t="shared" si="32"/>
        <v>3.842153888109378E-4</v>
      </c>
      <c r="AC442" s="32">
        <f t="shared" si="32"/>
        <v>2.5765000713529485E-4</v>
      </c>
      <c r="AD442" s="32">
        <f t="shared" si="32"/>
        <v>3.5695154103218438E-4</v>
      </c>
      <c r="AE442" s="32">
        <f t="shared" si="32"/>
        <v>2.7030859747241868E-4</v>
      </c>
      <c r="AF442" s="32">
        <f t="shared" si="31"/>
        <v>1.7502761246553488E-4</v>
      </c>
      <c r="AG442" s="32">
        <f t="shared" si="31"/>
        <v>2.8324287028127999E-4</v>
      </c>
      <c r="AH442" s="32">
        <f t="shared" si="31"/>
        <v>3.3906579399861278E-4</v>
      </c>
      <c r="AI442" s="32">
        <f t="shared" si="31"/>
        <v>8.6281725566382376E-4</v>
      </c>
      <c r="AJ442" s="32">
        <f t="shared" si="31"/>
        <v>4.5107915804265108E-3</v>
      </c>
      <c r="AK442" s="33">
        <f t="shared" si="30"/>
        <v>4.800334597579871E-4</v>
      </c>
    </row>
    <row r="443" spans="1:37" x14ac:dyDescent="0.3">
      <c r="A443" t="s">
        <v>87</v>
      </c>
      <c r="B443" s="1">
        <v>2017</v>
      </c>
      <c r="C443" s="1" t="str">
        <f t="shared" si="29"/>
        <v>West Virginia, 2017</v>
      </c>
      <c r="D443" s="27">
        <v>100</v>
      </c>
      <c r="E443" s="27">
        <v>42</v>
      </c>
      <c r="F443" s="27">
        <v>40</v>
      </c>
      <c r="G443" s="27">
        <v>54</v>
      </c>
      <c r="H443" s="27">
        <v>34</v>
      </c>
      <c r="I443" s="27">
        <v>58</v>
      </c>
      <c r="J443" s="27">
        <v>59</v>
      </c>
      <c r="K443" s="27">
        <v>78</v>
      </c>
      <c r="L443" s="27">
        <v>122</v>
      </c>
      <c r="M443" s="27">
        <v>166</v>
      </c>
      <c r="N443" s="27">
        <v>51</v>
      </c>
      <c r="O443" s="28">
        <v>804</v>
      </c>
      <c r="P443" s="29">
        <v>84872</v>
      </c>
      <c r="Q443" s="30">
        <v>179526</v>
      </c>
      <c r="R443" s="30">
        <v>197537</v>
      </c>
      <c r="S443" s="30">
        <v>184881</v>
      </c>
      <c r="T443" s="30">
        <v>187742</v>
      </c>
      <c r="U443" s="30">
        <v>208028</v>
      </c>
      <c r="V443" s="30">
        <v>226778</v>
      </c>
      <c r="W443" s="30">
        <v>165468</v>
      </c>
      <c r="X443" s="30">
        <v>86177</v>
      </c>
      <c r="Y443" s="30">
        <v>32751</v>
      </c>
      <c r="Z443" s="31">
        <v>1553760</v>
      </c>
      <c r="AA443" s="32">
        <f t="shared" si="32"/>
        <v>1.1782448864171929E-3</v>
      </c>
      <c r="AB443" s="32">
        <f t="shared" si="32"/>
        <v>2.339494000868955E-4</v>
      </c>
      <c r="AC443" s="32">
        <f t="shared" si="32"/>
        <v>2.0249371003913192E-4</v>
      </c>
      <c r="AD443" s="32">
        <f t="shared" si="32"/>
        <v>2.9207977023058075E-4</v>
      </c>
      <c r="AE443" s="32">
        <f t="shared" si="32"/>
        <v>1.8109959412385081E-4</v>
      </c>
      <c r="AF443" s="32">
        <f t="shared" si="31"/>
        <v>2.7880862191628048E-4</v>
      </c>
      <c r="AG443" s="32">
        <f t="shared" si="31"/>
        <v>2.6016633006729049E-4</v>
      </c>
      <c r="AH443" s="32">
        <f t="shared" si="31"/>
        <v>4.713902385959823E-4</v>
      </c>
      <c r="AI443" s="32">
        <f t="shared" si="31"/>
        <v>1.4156909616254917E-3</v>
      </c>
      <c r="AJ443" s="32">
        <f t="shared" si="31"/>
        <v>5.0685475252664038E-3</v>
      </c>
      <c r="AK443" s="33">
        <f t="shared" si="30"/>
        <v>5.1745443311708374E-4</v>
      </c>
    </row>
    <row r="444" spans="1:37" x14ac:dyDescent="0.3">
      <c r="A444" t="s">
        <v>88</v>
      </c>
      <c r="B444" s="1">
        <v>2009</v>
      </c>
      <c r="C444" s="1" t="str">
        <f t="shared" si="29"/>
        <v>Wisconsin, 2009</v>
      </c>
      <c r="D444" s="27">
        <v>103</v>
      </c>
      <c r="E444" s="27">
        <v>50</v>
      </c>
      <c r="F444" s="27">
        <v>38</v>
      </c>
      <c r="G444" s="27">
        <v>59</v>
      </c>
      <c r="H444" s="27">
        <v>58</v>
      </c>
      <c r="I444" s="27">
        <v>66</v>
      </c>
      <c r="J444" s="27">
        <v>62</v>
      </c>
      <c r="K444" s="27">
        <v>78</v>
      </c>
      <c r="L444" s="27">
        <v>234</v>
      </c>
      <c r="M444" s="27">
        <v>514</v>
      </c>
      <c r="N444" s="27">
        <v>56</v>
      </c>
      <c r="O444" s="28">
        <v>1318</v>
      </c>
      <c r="P444" s="29">
        <v>356612.68</v>
      </c>
      <c r="Q444" s="30">
        <v>723103.33299999975</v>
      </c>
      <c r="R444" s="30">
        <v>826691.03999999992</v>
      </c>
      <c r="S444" s="30">
        <v>687415.73300000036</v>
      </c>
      <c r="T444" s="30">
        <v>786252.96199999994</v>
      </c>
      <c r="U444" s="30">
        <v>860910.71599999978</v>
      </c>
      <c r="V444" s="30">
        <v>620627.3670000002</v>
      </c>
      <c r="W444" s="30">
        <v>369176.98999999993</v>
      </c>
      <c r="X444" s="30">
        <v>261492.45700000011</v>
      </c>
      <c r="Y444" s="30">
        <v>108896.36799999999</v>
      </c>
      <c r="Z444" s="31">
        <v>5599420</v>
      </c>
      <c r="AA444" s="32">
        <f t="shared" si="32"/>
        <v>2.8882876514654501E-4</v>
      </c>
      <c r="AB444" s="32">
        <f t="shared" si="32"/>
        <v>6.9146410641700106E-5</v>
      </c>
      <c r="AC444" s="32">
        <f t="shared" si="32"/>
        <v>4.596638666847049E-5</v>
      </c>
      <c r="AD444" s="32">
        <f t="shared" si="32"/>
        <v>8.5828701857773701E-5</v>
      </c>
      <c r="AE444" s="32">
        <f t="shared" si="32"/>
        <v>7.3767607631600892E-5</v>
      </c>
      <c r="AF444" s="32">
        <f t="shared" si="31"/>
        <v>7.6663002066755574E-5</v>
      </c>
      <c r="AG444" s="32">
        <f t="shared" si="31"/>
        <v>9.9898914061261466E-5</v>
      </c>
      <c r="AH444" s="32">
        <f t="shared" si="31"/>
        <v>2.1128077348482637E-4</v>
      </c>
      <c r="AI444" s="32">
        <f t="shared" si="31"/>
        <v>8.9486328854220031E-4</v>
      </c>
      <c r="AJ444" s="32">
        <f t="shared" si="31"/>
        <v>4.7200839609269621E-3</v>
      </c>
      <c r="AK444" s="33">
        <f t="shared" si="30"/>
        <v>2.3538152165760026E-4</v>
      </c>
    </row>
    <row r="445" spans="1:37" x14ac:dyDescent="0.3">
      <c r="A445" t="s">
        <v>88</v>
      </c>
      <c r="B445" s="1">
        <v>2010</v>
      </c>
      <c r="C445" s="1" t="str">
        <f t="shared" si="29"/>
        <v>Wisconsin, 2010</v>
      </c>
      <c r="D445" s="27">
        <v>113</v>
      </c>
      <c r="E445" s="27">
        <v>50</v>
      </c>
      <c r="F445" s="27">
        <v>63</v>
      </c>
      <c r="G445" s="27">
        <v>64</v>
      </c>
      <c r="H445" s="27">
        <v>61</v>
      </c>
      <c r="I445" s="27">
        <v>50</v>
      </c>
      <c r="J445" s="27">
        <v>50</v>
      </c>
      <c r="K445" s="27">
        <v>50</v>
      </c>
      <c r="L445" s="27">
        <v>225</v>
      </c>
      <c r="M445" s="27">
        <v>501</v>
      </c>
      <c r="N445" s="27">
        <v>63</v>
      </c>
      <c r="O445" s="28">
        <v>1290</v>
      </c>
      <c r="P445" s="29">
        <v>348413.71600000001</v>
      </c>
      <c r="Q445" s="30">
        <v>731724.79799999995</v>
      </c>
      <c r="R445" s="30">
        <v>782033.87599999993</v>
      </c>
      <c r="S445" s="30">
        <v>689457.05300000007</v>
      </c>
      <c r="T445" s="30">
        <v>749960.17600000009</v>
      </c>
      <c r="U445" s="30">
        <v>851363.11199999996</v>
      </c>
      <c r="V445" s="30">
        <v>638761.02399999998</v>
      </c>
      <c r="W445" s="30">
        <v>369899.17299999989</v>
      </c>
      <c r="X445" s="30">
        <v>256351.47899999999</v>
      </c>
      <c r="Y445" s="30">
        <v>109223.33700000001</v>
      </c>
      <c r="Z445" s="31">
        <v>5526493</v>
      </c>
      <c r="AA445" s="32">
        <f t="shared" si="32"/>
        <v>3.2432707098132727E-4</v>
      </c>
      <c r="AB445" s="32">
        <f t="shared" si="32"/>
        <v>6.833170084800106E-5</v>
      </c>
      <c r="AC445" s="32">
        <f t="shared" si="32"/>
        <v>8.0559170048024882E-5</v>
      </c>
      <c r="AD445" s="32">
        <f t="shared" si="32"/>
        <v>9.2826666608920741E-5</v>
      </c>
      <c r="AE445" s="32">
        <f t="shared" si="32"/>
        <v>8.1337652254217824E-5</v>
      </c>
      <c r="AF445" s="32">
        <f t="shared" si="31"/>
        <v>5.8729347437359962E-5</v>
      </c>
      <c r="AG445" s="32">
        <f t="shared" si="31"/>
        <v>7.8276535545161881E-5</v>
      </c>
      <c r="AH445" s="32">
        <f t="shared" si="31"/>
        <v>1.3517197022768152E-4</v>
      </c>
      <c r="AI445" s="32">
        <f t="shared" si="31"/>
        <v>8.7770119711304653E-4</v>
      </c>
      <c r="AJ445" s="32">
        <f t="shared" si="31"/>
        <v>4.5869318202574226E-3</v>
      </c>
      <c r="AK445" s="33">
        <f t="shared" si="30"/>
        <v>2.3342108639240111E-4</v>
      </c>
    </row>
    <row r="446" spans="1:37" x14ac:dyDescent="0.3">
      <c r="A446" t="s">
        <v>88</v>
      </c>
      <c r="B446" s="1">
        <v>2011</v>
      </c>
      <c r="C446" s="1" t="str">
        <f t="shared" si="29"/>
        <v>Wisconsin, 2011</v>
      </c>
      <c r="D446" s="27">
        <v>107</v>
      </c>
      <c r="E446" s="27">
        <v>52</v>
      </c>
      <c r="F446" s="27">
        <v>65</v>
      </c>
      <c r="G446" s="27">
        <v>53</v>
      </c>
      <c r="H446" s="27">
        <v>55</v>
      </c>
      <c r="I446" s="27">
        <v>65</v>
      </c>
      <c r="J446" s="27">
        <v>73</v>
      </c>
      <c r="K446" s="27">
        <v>61</v>
      </c>
      <c r="L446" s="27">
        <v>241</v>
      </c>
      <c r="M446" s="27">
        <v>532</v>
      </c>
      <c r="N446" s="27">
        <v>54</v>
      </c>
      <c r="O446" s="28">
        <v>1358</v>
      </c>
      <c r="P446" s="29">
        <v>341118.13700000005</v>
      </c>
      <c r="Q446" s="30">
        <v>713311.25699999998</v>
      </c>
      <c r="R446" s="30">
        <v>766660.90500000014</v>
      </c>
      <c r="S446" s="30">
        <v>684055.21499999997</v>
      </c>
      <c r="T446" s="30">
        <v>714725.16899999988</v>
      </c>
      <c r="U446" s="30">
        <v>829662.55700000026</v>
      </c>
      <c r="V446" s="30">
        <v>648931.47500000009</v>
      </c>
      <c r="W446" s="30">
        <v>371714.60099999991</v>
      </c>
      <c r="X446" s="30">
        <v>250686.94000000006</v>
      </c>
      <c r="Y446" s="30">
        <v>109374.44899999998</v>
      </c>
      <c r="Z446" s="31">
        <v>5429722</v>
      </c>
      <c r="AA446" s="32">
        <f t="shared" si="32"/>
        <v>3.136743209875117E-4</v>
      </c>
      <c r="AB446" s="32">
        <f t="shared" si="32"/>
        <v>7.2899452363472237E-5</v>
      </c>
      <c r="AC446" s="32">
        <f t="shared" si="32"/>
        <v>8.4783245860175932E-5</v>
      </c>
      <c r="AD446" s="32">
        <f t="shared" si="32"/>
        <v>7.7479125716481829E-5</v>
      </c>
      <c r="AE446" s="32">
        <f t="shared" si="32"/>
        <v>7.6952655909617206E-5</v>
      </c>
      <c r="AF446" s="32">
        <f t="shared" si="31"/>
        <v>7.8345104827961981E-5</v>
      </c>
      <c r="AG446" s="32">
        <f t="shared" si="31"/>
        <v>1.12492617190436E-4</v>
      </c>
      <c r="AH446" s="32">
        <f t="shared" si="31"/>
        <v>1.6410439578078349E-4</v>
      </c>
      <c r="AI446" s="32">
        <f t="shared" si="31"/>
        <v>9.6135841779392234E-4</v>
      </c>
      <c r="AJ446" s="32">
        <f t="shared" si="31"/>
        <v>4.8640245035657288E-3</v>
      </c>
      <c r="AK446" s="33">
        <f t="shared" si="30"/>
        <v>2.5010488566449629E-4</v>
      </c>
    </row>
    <row r="447" spans="1:37" x14ac:dyDescent="0.3">
      <c r="A447" t="s">
        <v>88</v>
      </c>
      <c r="B447" s="1">
        <v>2012</v>
      </c>
      <c r="C447" s="1" t="str">
        <f t="shared" si="29"/>
        <v>Wisconsin, 2012</v>
      </c>
      <c r="D447" s="27">
        <v>112</v>
      </c>
      <c r="E447" s="27">
        <v>51</v>
      </c>
      <c r="F447" s="27">
        <v>60</v>
      </c>
      <c r="G447" s="27">
        <v>31</v>
      </c>
      <c r="H447" s="27">
        <v>52</v>
      </c>
      <c r="I447" s="27">
        <v>52</v>
      </c>
      <c r="J447" s="27">
        <v>58</v>
      </c>
      <c r="K447" s="27">
        <v>77</v>
      </c>
      <c r="L447" s="27">
        <v>257</v>
      </c>
      <c r="M447" s="27">
        <v>546</v>
      </c>
      <c r="N447" s="27">
        <v>52</v>
      </c>
      <c r="O447" s="28">
        <v>1348</v>
      </c>
      <c r="P447" s="29">
        <v>346149.73599999998</v>
      </c>
      <c r="Q447" s="30">
        <v>722980.65699999977</v>
      </c>
      <c r="R447" s="30">
        <v>775229.32099999988</v>
      </c>
      <c r="S447" s="30">
        <v>704310.51500000013</v>
      </c>
      <c r="T447" s="30">
        <v>708686.79899999977</v>
      </c>
      <c r="U447" s="30">
        <v>841626.37800000003</v>
      </c>
      <c r="V447" s="30">
        <v>687218.10600000015</v>
      </c>
      <c r="W447" s="30">
        <v>395403.30600000004</v>
      </c>
      <c r="X447" s="30">
        <v>252672.02099999995</v>
      </c>
      <c r="Y447" s="30">
        <v>112867.92999999998</v>
      </c>
      <c r="Z447" s="31">
        <v>5548705</v>
      </c>
      <c r="AA447" s="32">
        <f t="shared" si="32"/>
        <v>3.2355939742793855E-4</v>
      </c>
      <c r="AB447" s="32">
        <f t="shared" si="32"/>
        <v>7.0541306335392058E-5</v>
      </c>
      <c r="AC447" s="32">
        <f t="shared" si="32"/>
        <v>7.7396453377954742E-5</v>
      </c>
      <c r="AD447" s="32">
        <f t="shared" si="32"/>
        <v>4.401467724786133E-5</v>
      </c>
      <c r="AE447" s="32">
        <f t="shared" si="32"/>
        <v>7.3375149746510257E-5</v>
      </c>
      <c r="AF447" s="32">
        <f t="shared" si="31"/>
        <v>6.1785135731570425E-5</v>
      </c>
      <c r="AG447" s="32">
        <f t="shared" si="31"/>
        <v>8.4398241975306722E-5</v>
      </c>
      <c r="AH447" s="32">
        <f t="shared" si="31"/>
        <v>1.9473787606621578E-4</v>
      </c>
      <c r="AI447" s="32">
        <f t="shared" si="31"/>
        <v>1.0171288415031913E-3</v>
      </c>
      <c r="AJ447" s="32">
        <f t="shared" si="31"/>
        <v>4.8375123030961953E-3</v>
      </c>
      <c r="AK447" s="33">
        <f t="shared" si="30"/>
        <v>2.4293956878226541E-4</v>
      </c>
    </row>
    <row r="448" spans="1:37" x14ac:dyDescent="0.3">
      <c r="A448" t="s">
        <v>88</v>
      </c>
      <c r="B448" s="1">
        <v>2013</v>
      </c>
      <c r="C448" s="1" t="str">
        <f t="shared" si="29"/>
        <v>Wisconsin, 2013</v>
      </c>
      <c r="D448" s="27">
        <v>96</v>
      </c>
      <c r="E448" s="27">
        <v>59</v>
      </c>
      <c r="F448" s="27">
        <v>53</v>
      </c>
      <c r="G448" s="27">
        <v>43</v>
      </c>
      <c r="H448" s="27">
        <v>57</v>
      </c>
      <c r="I448" s="27">
        <v>59</v>
      </c>
      <c r="J448" s="27">
        <v>72</v>
      </c>
      <c r="K448" s="27">
        <v>109</v>
      </c>
      <c r="L448" s="27">
        <v>236</v>
      </c>
      <c r="M448" s="27">
        <v>642</v>
      </c>
      <c r="N448" s="27">
        <v>71</v>
      </c>
      <c r="O448" s="28">
        <v>1497</v>
      </c>
      <c r="P448" s="29">
        <v>339052.83999999997</v>
      </c>
      <c r="Q448" s="30">
        <v>714952.24399999972</v>
      </c>
      <c r="R448" s="30">
        <v>763778.23299999966</v>
      </c>
      <c r="S448" s="30">
        <v>702333.80500000005</v>
      </c>
      <c r="T448" s="30">
        <v>689739.5850000002</v>
      </c>
      <c r="U448" s="30">
        <v>826704.85499999998</v>
      </c>
      <c r="V448" s="30">
        <v>695778.73</v>
      </c>
      <c r="W448" s="30">
        <v>400438.33099999995</v>
      </c>
      <c r="X448" s="30">
        <v>247414.33100000001</v>
      </c>
      <c r="Y448" s="30">
        <v>114885.39699999998</v>
      </c>
      <c r="Z448" s="31">
        <v>5493340</v>
      </c>
      <c r="AA448" s="32">
        <f t="shared" si="32"/>
        <v>2.831417073515739E-4</v>
      </c>
      <c r="AB448" s="32">
        <f t="shared" si="32"/>
        <v>8.2522994361005218E-5</v>
      </c>
      <c r="AC448" s="32">
        <f t="shared" si="32"/>
        <v>6.9391870192247307E-5</v>
      </c>
      <c r="AD448" s="32">
        <f t="shared" si="32"/>
        <v>6.1224448679356955E-5</v>
      </c>
      <c r="AE448" s="32">
        <f t="shared" si="32"/>
        <v>8.2639885022692996E-5</v>
      </c>
      <c r="AF448" s="32">
        <f t="shared" si="31"/>
        <v>7.1367670872091342E-5</v>
      </c>
      <c r="AG448" s="32">
        <f t="shared" si="31"/>
        <v>1.0348117425204993E-4</v>
      </c>
      <c r="AH448" s="32">
        <f t="shared" si="31"/>
        <v>2.7220171387638717E-4</v>
      </c>
      <c r="AI448" s="32">
        <f t="shared" si="31"/>
        <v>9.5386552204205176E-4</v>
      </c>
      <c r="AJ448" s="32">
        <f t="shared" si="31"/>
        <v>5.5881775818731787E-3</v>
      </c>
      <c r="AK448" s="33">
        <f t="shared" si="30"/>
        <v>2.7251180520411987E-4</v>
      </c>
    </row>
    <row r="449" spans="1:37" x14ac:dyDescent="0.3">
      <c r="A449" t="s">
        <v>88</v>
      </c>
      <c r="B449" s="1">
        <v>2014</v>
      </c>
      <c r="C449" s="1" t="str">
        <f t="shared" si="29"/>
        <v>Wisconsin, 2014</v>
      </c>
      <c r="D449" s="27">
        <v>116</v>
      </c>
      <c r="E449" s="27">
        <v>61</v>
      </c>
      <c r="F449" s="27">
        <v>51</v>
      </c>
      <c r="G449" s="27">
        <v>61</v>
      </c>
      <c r="H449" s="27">
        <v>53</v>
      </c>
      <c r="I449" s="27">
        <v>61</v>
      </c>
      <c r="J449" s="27">
        <v>54</v>
      </c>
      <c r="K449" s="27">
        <v>78</v>
      </c>
      <c r="L449" s="27">
        <v>194</v>
      </c>
      <c r="M449" s="27">
        <v>560</v>
      </c>
      <c r="N449" s="27">
        <v>67</v>
      </c>
      <c r="O449" s="28">
        <v>1356</v>
      </c>
      <c r="P449" s="29">
        <v>336985.89600000007</v>
      </c>
      <c r="Q449" s="30">
        <v>718927.24499999988</v>
      </c>
      <c r="R449" s="30">
        <v>765439.58499999973</v>
      </c>
      <c r="S449" s="30">
        <v>710064.54000000015</v>
      </c>
      <c r="T449" s="30">
        <v>683214.91999999981</v>
      </c>
      <c r="U449" s="30">
        <v>821121.32700000028</v>
      </c>
      <c r="V449" s="30">
        <v>722551.45099999977</v>
      </c>
      <c r="W449" s="30">
        <v>421533.04499999998</v>
      </c>
      <c r="X449" s="30">
        <v>250712.32100000003</v>
      </c>
      <c r="Y449" s="30">
        <v>117957.05800000002</v>
      </c>
      <c r="Z449" s="31">
        <v>5546893</v>
      </c>
      <c r="AA449" s="32">
        <f t="shared" si="32"/>
        <v>3.4422805635758708E-4</v>
      </c>
      <c r="AB449" s="32">
        <f t="shared" si="32"/>
        <v>8.4848641394860493E-5</v>
      </c>
      <c r="AC449" s="32">
        <f t="shared" si="32"/>
        <v>6.6628380605635929E-5</v>
      </c>
      <c r="AD449" s="32">
        <f t="shared" si="32"/>
        <v>8.5907683828289732E-5</v>
      </c>
      <c r="AE449" s="32">
        <f t="shared" si="32"/>
        <v>7.7574418310419818E-5</v>
      </c>
      <c r="AF449" s="32">
        <f t="shared" si="31"/>
        <v>7.4288656248725084E-5</v>
      </c>
      <c r="AG449" s="32">
        <f t="shared" si="31"/>
        <v>7.4735162354549084E-5</v>
      </c>
      <c r="AH449" s="32">
        <f t="shared" si="31"/>
        <v>1.8503887399859721E-4</v>
      </c>
      <c r="AI449" s="32">
        <f t="shared" si="31"/>
        <v>7.7379523761020102E-4</v>
      </c>
      <c r="AJ449" s="32">
        <f t="shared" si="31"/>
        <v>4.7474903960388693E-3</v>
      </c>
      <c r="AK449" s="33">
        <f t="shared" si="30"/>
        <v>2.4446117853724598E-4</v>
      </c>
    </row>
    <row r="450" spans="1:37" x14ac:dyDescent="0.3">
      <c r="A450" t="s">
        <v>88</v>
      </c>
      <c r="B450" s="1">
        <v>2015</v>
      </c>
      <c r="C450" s="1" t="str">
        <f t="shared" si="29"/>
        <v>Wisconsin, 2015</v>
      </c>
      <c r="D450" s="27">
        <v>120</v>
      </c>
      <c r="E450" s="27">
        <v>38</v>
      </c>
      <c r="F450" s="27">
        <v>49</v>
      </c>
      <c r="G450" s="27">
        <v>61</v>
      </c>
      <c r="H450" s="27">
        <v>56</v>
      </c>
      <c r="I450" s="27">
        <v>48</v>
      </c>
      <c r="J450" s="27">
        <v>51</v>
      </c>
      <c r="K450" s="27">
        <v>61</v>
      </c>
      <c r="L450" s="27">
        <v>241</v>
      </c>
      <c r="M450" s="27">
        <v>595</v>
      </c>
      <c r="N450" s="27">
        <v>47</v>
      </c>
      <c r="O450" s="28">
        <v>1367</v>
      </c>
      <c r="P450" s="29">
        <v>326415.16899999994</v>
      </c>
      <c r="Q450" s="30">
        <v>696320.89600000007</v>
      </c>
      <c r="R450" s="30">
        <v>749380.00699999987</v>
      </c>
      <c r="S450" s="30">
        <v>696360.71900000004</v>
      </c>
      <c r="T450" s="30">
        <v>662020.76699999988</v>
      </c>
      <c r="U450" s="30">
        <v>781677.97400000028</v>
      </c>
      <c r="V450" s="30">
        <v>718962.4789999997</v>
      </c>
      <c r="W450" s="30">
        <v>431494.03599999985</v>
      </c>
      <c r="X450" s="30">
        <v>245953.53900000008</v>
      </c>
      <c r="Y450" s="30">
        <v>115736.43199999999</v>
      </c>
      <c r="Z450" s="31">
        <v>5421788</v>
      </c>
      <c r="AA450" s="32">
        <f t="shared" si="32"/>
        <v>3.6762997371608065E-4</v>
      </c>
      <c r="AB450" s="32">
        <f t="shared" si="32"/>
        <v>5.4572540072099169E-5</v>
      </c>
      <c r="AC450" s="32">
        <f t="shared" si="32"/>
        <v>6.5387386295722206E-5</v>
      </c>
      <c r="AD450" s="32">
        <f t="shared" si="32"/>
        <v>8.7598278213622208E-5</v>
      </c>
      <c r="AE450" s="32">
        <f t="shared" si="32"/>
        <v>8.458949143509272E-5</v>
      </c>
      <c r="AF450" s="32">
        <f t="shared" si="31"/>
        <v>6.1406361182693347E-5</v>
      </c>
      <c r="AG450" s="32">
        <f t="shared" si="31"/>
        <v>7.0935551561655301E-5</v>
      </c>
      <c r="AH450" s="32">
        <f t="shared" si="31"/>
        <v>1.4136927723376464E-4</v>
      </c>
      <c r="AI450" s="32">
        <f t="shared" si="31"/>
        <v>9.7985985881666841E-4</v>
      </c>
      <c r="AJ450" s="32">
        <f t="shared" si="31"/>
        <v>5.1409913863596562E-3</v>
      </c>
      <c r="AK450" s="33">
        <f t="shared" si="30"/>
        <v>2.5213084687191752E-4</v>
      </c>
    </row>
    <row r="451" spans="1:37" x14ac:dyDescent="0.3">
      <c r="A451" t="s">
        <v>88</v>
      </c>
      <c r="B451" s="1">
        <v>2016</v>
      </c>
      <c r="C451" s="1" t="str">
        <f t="shared" si="29"/>
        <v>Wisconsin, 2016</v>
      </c>
      <c r="D451" s="27">
        <v>108</v>
      </c>
      <c r="E451" s="27">
        <v>47</v>
      </c>
      <c r="F451" s="27">
        <v>56</v>
      </c>
      <c r="G451" s="27">
        <v>52</v>
      </c>
      <c r="H451" s="27">
        <v>48</v>
      </c>
      <c r="I451" s="27">
        <v>50</v>
      </c>
      <c r="J451" s="27">
        <v>78</v>
      </c>
      <c r="K451" s="27">
        <v>83</v>
      </c>
      <c r="L451" s="27">
        <v>161</v>
      </c>
      <c r="M451" s="27">
        <v>471</v>
      </c>
      <c r="N451" s="27">
        <v>55</v>
      </c>
      <c r="O451" s="28">
        <v>1209</v>
      </c>
      <c r="P451" s="29">
        <v>325428.28800000006</v>
      </c>
      <c r="Q451" s="30">
        <v>698123.37000000011</v>
      </c>
      <c r="R451" s="30">
        <v>752641.94200000016</v>
      </c>
      <c r="S451" s="30">
        <v>697128.18699999992</v>
      </c>
      <c r="T451" s="30">
        <v>656629.7969999999</v>
      </c>
      <c r="U451" s="30">
        <v>765343.66100000008</v>
      </c>
      <c r="V451" s="30">
        <v>728181.06199999992</v>
      </c>
      <c r="W451" s="30">
        <v>449673.28099999996</v>
      </c>
      <c r="X451" s="30">
        <v>244302.55100000004</v>
      </c>
      <c r="Y451" s="30">
        <v>118144.29600000006</v>
      </c>
      <c r="Z451" s="31">
        <v>5436550</v>
      </c>
      <c r="AA451" s="32">
        <f t="shared" si="32"/>
        <v>3.3187035049638946E-4</v>
      </c>
      <c r="AB451" s="32">
        <f t="shared" si="32"/>
        <v>6.7323344296581837E-5</v>
      </c>
      <c r="AC451" s="32">
        <f t="shared" si="32"/>
        <v>7.4404569922307076E-5</v>
      </c>
      <c r="AD451" s="32">
        <f t="shared" si="32"/>
        <v>7.4591733586006913E-5</v>
      </c>
      <c r="AE451" s="32">
        <f t="shared" si="32"/>
        <v>7.3100551055254665E-5</v>
      </c>
      <c r="AF451" s="32">
        <f t="shared" si="31"/>
        <v>6.5330128866122525E-5</v>
      </c>
      <c r="AG451" s="32">
        <f t="shared" si="31"/>
        <v>1.0711621610395576E-4</v>
      </c>
      <c r="AH451" s="32">
        <f t="shared" si="31"/>
        <v>1.8457845619695605E-4</v>
      </c>
      <c r="AI451" s="32">
        <f t="shared" si="31"/>
        <v>6.5901890643786187E-4</v>
      </c>
      <c r="AJ451" s="32">
        <f t="shared" si="31"/>
        <v>3.9866503584735039E-3</v>
      </c>
      <c r="AK451" s="33">
        <f t="shared" si="30"/>
        <v>2.2238368082699506E-4</v>
      </c>
    </row>
    <row r="452" spans="1:37" x14ac:dyDescent="0.3">
      <c r="A452" t="s">
        <v>88</v>
      </c>
      <c r="B452" s="1">
        <v>2017</v>
      </c>
      <c r="C452" s="1" t="str">
        <f t="shared" ref="C452:C461" si="33">A452&amp;", "&amp;B452</f>
        <v>Wisconsin, 2017</v>
      </c>
      <c r="D452" s="27">
        <v>104</v>
      </c>
      <c r="E452" s="27">
        <v>52</v>
      </c>
      <c r="F452" s="27">
        <v>45</v>
      </c>
      <c r="G452" s="27">
        <v>71</v>
      </c>
      <c r="H452" s="27">
        <v>56</v>
      </c>
      <c r="I452" s="27">
        <v>47</v>
      </c>
      <c r="J452" s="27">
        <v>68</v>
      </c>
      <c r="K452" s="27">
        <v>124</v>
      </c>
      <c r="L452" s="27">
        <v>189</v>
      </c>
      <c r="M452" s="27">
        <v>521</v>
      </c>
      <c r="N452" s="27">
        <v>42</v>
      </c>
      <c r="O452" s="28">
        <v>1319</v>
      </c>
      <c r="P452" s="29">
        <v>319167</v>
      </c>
      <c r="Q452" s="30">
        <v>690312</v>
      </c>
      <c r="R452" s="30">
        <v>744686</v>
      </c>
      <c r="S452" s="30">
        <v>693695</v>
      </c>
      <c r="T452" s="30">
        <v>656272</v>
      </c>
      <c r="U452" s="30">
        <v>752066</v>
      </c>
      <c r="V452" s="30">
        <v>745464</v>
      </c>
      <c r="W452" s="30">
        <v>472562</v>
      </c>
      <c r="X452" s="30">
        <v>248864</v>
      </c>
      <c r="Y452" s="30">
        <v>118830</v>
      </c>
      <c r="Z452" s="31">
        <v>5441918</v>
      </c>
      <c r="AA452" s="32">
        <f t="shared" si="32"/>
        <v>3.2584822365720766E-4</v>
      </c>
      <c r="AB452" s="32">
        <f t="shared" si="32"/>
        <v>7.5328257367683014E-5</v>
      </c>
      <c r="AC452" s="32">
        <f t="shared" si="32"/>
        <v>6.0428153611052174E-5</v>
      </c>
      <c r="AD452" s="32">
        <f t="shared" si="32"/>
        <v>1.0235045661277651E-4</v>
      </c>
      <c r="AE452" s="32">
        <f t="shared" si="32"/>
        <v>8.5330472730818925E-5</v>
      </c>
      <c r="AF452" s="32">
        <f t="shared" si="31"/>
        <v>6.249451510904628E-5</v>
      </c>
      <c r="AG452" s="32">
        <f t="shared" si="31"/>
        <v>9.1218355279396458E-5</v>
      </c>
      <c r="AH452" s="32">
        <f t="shared" si="31"/>
        <v>2.6239943118574918E-4</v>
      </c>
      <c r="AI452" s="32">
        <f t="shared" si="31"/>
        <v>7.5945094509450944E-4</v>
      </c>
      <c r="AJ452" s="32">
        <f t="shared" si="31"/>
        <v>4.3844147100900446E-3</v>
      </c>
      <c r="AK452" s="33">
        <f t="shared" ref="AK452:AK461" si="34">O452/Z452</f>
        <v>2.4237777930501708E-4</v>
      </c>
    </row>
    <row r="453" spans="1:37" x14ac:dyDescent="0.3">
      <c r="A453" t="s">
        <v>89</v>
      </c>
      <c r="B453" s="1">
        <v>2009</v>
      </c>
      <c r="C453" s="1" t="str">
        <f t="shared" si="33"/>
        <v>Wyoming, 2009</v>
      </c>
      <c r="D453" s="27">
        <v>117</v>
      </c>
      <c r="E453" s="27">
        <v>41</v>
      </c>
      <c r="F453" s="27">
        <v>49</v>
      </c>
      <c r="G453" s="27">
        <v>67</v>
      </c>
      <c r="H453" s="27">
        <v>70</v>
      </c>
      <c r="I453" s="27">
        <v>37</v>
      </c>
      <c r="J453" s="27">
        <v>48</v>
      </c>
      <c r="K453" s="27">
        <v>61</v>
      </c>
      <c r="L453" s="27">
        <v>68</v>
      </c>
      <c r="M453" s="27">
        <v>68</v>
      </c>
      <c r="N453" s="27">
        <v>53</v>
      </c>
      <c r="O453" s="28">
        <v>679</v>
      </c>
      <c r="P453" s="29">
        <v>35722.439000000006</v>
      </c>
      <c r="Q453" s="30">
        <v>67029.884000000005</v>
      </c>
      <c r="R453" s="30">
        <v>80415.207000000009</v>
      </c>
      <c r="S453" s="30">
        <v>67060.034</v>
      </c>
      <c r="T453" s="30">
        <v>64126.428</v>
      </c>
      <c r="U453" s="30">
        <v>81240.143999999986</v>
      </c>
      <c r="V453" s="30">
        <v>61507.877999999997</v>
      </c>
      <c r="W453" s="30">
        <v>33323.114999999998</v>
      </c>
      <c r="X453" s="30">
        <v>21280.575999999997</v>
      </c>
      <c r="Y453" s="30">
        <v>7882.1490000000003</v>
      </c>
      <c r="Z453" s="31">
        <v>519426</v>
      </c>
      <c r="AA453" s="32">
        <f t="shared" si="32"/>
        <v>3.2752522861050999E-3</v>
      </c>
      <c r="AB453" s="32">
        <f t="shared" si="32"/>
        <v>6.1166747655418878E-4</v>
      </c>
      <c r="AC453" s="32">
        <f t="shared" si="32"/>
        <v>6.0933748513511876E-4</v>
      </c>
      <c r="AD453" s="32">
        <f t="shared" si="32"/>
        <v>9.991047722999961E-4</v>
      </c>
      <c r="AE453" s="32">
        <f t="shared" si="32"/>
        <v>1.0915936250183778E-3</v>
      </c>
      <c r="AF453" s="32">
        <f t="shared" si="31"/>
        <v>4.5543986234194766E-4</v>
      </c>
      <c r="AG453" s="32">
        <f t="shared" si="31"/>
        <v>7.8038783909924517E-4</v>
      </c>
      <c r="AH453" s="32">
        <f t="shared" si="31"/>
        <v>1.8305611585231454E-3</v>
      </c>
      <c r="AI453" s="32">
        <f t="shared" si="31"/>
        <v>3.1954022297140832E-3</v>
      </c>
      <c r="AJ453" s="32">
        <f t="shared" si="31"/>
        <v>8.6270888814712829E-3</v>
      </c>
      <c r="AK453" s="33">
        <f t="shared" si="34"/>
        <v>1.307212191919542E-3</v>
      </c>
    </row>
    <row r="454" spans="1:37" x14ac:dyDescent="0.3">
      <c r="A454" t="s">
        <v>89</v>
      </c>
      <c r="B454" s="1">
        <v>2010</v>
      </c>
      <c r="C454" s="1" t="str">
        <f t="shared" si="33"/>
        <v>Wyoming, 2010</v>
      </c>
      <c r="D454" s="27">
        <v>123</v>
      </c>
      <c r="E454" s="27">
        <v>47</v>
      </c>
      <c r="F454" s="27">
        <v>54</v>
      </c>
      <c r="G454" s="27">
        <v>44</v>
      </c>
      <c r="H454" s="27">
        <v>55</v>
      </c>
      <c r="I454" s="27">
        <v>45</v>
      </c>
      <c r="J454" s="27">
        <v>54</v>
      </c>
      <c r="K454" s="27">
        <v>59</v>
      </c>
      <c r="L454" s="27">
        <v>61</v>
      </c>
      <c r="M454" s="27">
        <v>67</v>
      </c>
      <c r="N454" s="27">
        <v>68</v>
      </c>
      <c r="O454" s="28">
        <v>677</v>
      </c>
      <c r="P454" s="29">
        <v>35656.452000000005</v>
      </c>
      <c r="Q454" s="30">
        <v>68534.260999999984</v>
      </c>
      <c r="R454" s="30">
        <v>80411.418999999994</v>
      </c>
      <c r="S454" s="30">
        <v>68406.895999999993</v>
      </c>
      <c r="T454" s="30">
        <v>65195.686000000002</v>
      </c>
      <c r="U454" s="30">
        <v>82623.87</v>
      </c>
      <c r="V454" s="30">
        <v>67551.90800000001</v>
      </c>
      <c r="W454" s="30">
        <v>37679.228999999992</v>
      </c>
      <c r="X454" s="30">
        <v>22678.043000000001</v>
      </c>
      <c r="Y454" s="30">
        <v>8804.6</v>
      </c>
      <c r="Z454" s="31">
        <v>537671</v>
      </c>
      <c r="AA454" s="32">
        <f t="shared" si="32"/>
        <v>3.4495860664992689E-3</v>
      </c>
      <c r="AB454" s="32">
        <f t="shared" si="32"/>
        <v>6.8578838254344072E-4</v>
      </c>
      <c r="AC454" s="32">
        <f t="shared" si="32"/>
        <v>6.7154641307847092E-4</v>
      </c>
      <c r="AD454" s="32">
        <f t="shared" si="32"/>
        <v>6.4321000619586659E-4</v>
      </c>
      <c r="AE454" s="32">
        <f t="shared" si="32"/>
        <v>8.4361410047897954E-4</v>
      </c>
      <c r="AF454" s="32">
        <f t="shared" si="31"/>
        <v>5.4463679805847882E-4</v>
      </c>
      <c r="AG454" s="32">
        <f t="shared" si="31"/>
        <v>7.9938526680845186E-4</v>
      </c>
      <c r="AH454" s="32">
        <f t="shared" si="31"/>
        <v>1.5658494498387962E-3</v>
      </c>
      <c r="AI454" s="32">
        <f t="shared" si="31"/>
        <v>2.6898264546019249E-3</v>
      </c>
      <c r="AJ454" s="32">
        <f t="shared" si="31"/>
        <v>7.6096585875565044E-3</v>
      </c>
      <c r="AK454" s="33">
        <f t="shared" si="34"/>
        <v>1.2591343033193161E-3</v>
      </c>
    </row>
    <row r="455" spans="1:37" x14ac:dyDescent="0.3">
      <c r="A455" t="s">
        <v>89</v>
      </c>
      <c r="B455" s="1">
        <v>2011</v>
      </c>
      <c r="C455" s="1" t="str">
        <f t="shared" si="33"/>
        <v>Wyoming, 2011</v>
      </c>
      <c r="D455" s="27">
        <v>107</v>
      </c>
      <c r="E455" s="27">
        <v>48</v>
      </c>
      <c r="F455" s="27">
        <v>46</v>
      </c>
      <c r="G455" s="27">
        <v>67</v>
      </c>
      <c r="H455" s="27">
        <v>87</v>
      </c>
      <c r="I455" s="27">
        <v>58</v>
      </c>
      <c r="J455" s="27">
        <v>55</v>
      </c>
      <c r="K455" s="27">
        <v>44</v>
      </c>
      <c r="L455" s="27">
        <v>48</v>
      </c>
      <c r="M455" s="27">
        <v>72</v>
      </c>
      <c r="N455" s="27">
        <v>47</v>
      </c>
      <c r="O455" s="28">
        <v>679</v>
      </c>
      <c r="P455" s="29">
        <v>38826.059000000001</v>
      </c>
      <c r="Q455" s="30">
        <v>72225.652999999991</v>
      </c>
      <c r="R455" s="30">
        <v>77785.752000000008</v>
      </c>
      <c r="S455" s="30">
        <v>70992.251999999993</v>
      </c>
      <c r="T455" s="30">
        <v>63307.262000000002</v>
      </c>
      <c r="U455" s="30">
        <v>78134.710999999996</v>
      </c>
      <c r="V455" s="30">
        <v>65900.815999999992</v>
      </c>
      <c r="W455" s="30">
        <v>35775.473999999995</v>
      </c>
      <c r="X455" s="30">
        <v>20393.716000000004</v>
      </c>
      <c r="Y455" s="30">
        <v>7791.6599999999989</v>
      </c>
      <c r="Z455" s="31">
        <v>530679</v>
      </c>
      <c r="AA455" s="32">
        <f t="shared" si="32"/>
        <v>2.7558810437082991E-3</v>
      </c>
      <c r="AB455" s="32">
        <f t="shared" si="32"/>
        <v>6.6458381483930655E-4</v>
      </c>
      <c r="AC455" s="32">
        <f t="shared" si="32"/>
        <v>5.9136794100801389E-4</v>
      </c>
      <c r="AD455" s="32">
        <f t="shared" si="32"/>
        <v>9.4376496184400531E-4</v>
      </c>
      <c r="AE455" s="32">
        <f t="shared" si="32"/>
        <v>1.3742499241240285E-3</v>
      </c>
      <c r="AF455" s="32">
        <f t="shared" si="31"/>
        <v>7.4230773055524585E-4</v>
      </c>
      <c r="AG455" s="32">
        <f t="shared" si="31"/>
        <v>8.3458754137429806E-4</v>
      </c>
      <c r="AH455" s="32">
        <f t="shared" si="31"/>
        <v>1.2298928590016728E-3</v>
      </c>
      <c r="AI455" s="32">
        <f t="shared" si="31"/>
        <v>2.3536661979601946E-3</v>
      </c>
      <c r="AJ455" s="32">
        <f t="shared" si="31"/>
        <v>9.2406496176681233E-3</v>
      </c>
      <c r="AK455" s="33">
        <f t="shared" si="34"/>
        <v>1.2794928761077789E-3</v>
      </c>
    </row>
    <row r="456" spans="1:37" x14ac:dyDescent="0.3">
      <c r="A456" t="s">
        <v>89</v>
      </c>
      <c r="B456" s="1">
        <v>2012</v>
      </c>
      <c r="C456" s="1" t="str">
        <f t="shared" si="33"/>
        <v>Wyoming, 2012</v>
      </c>
      <c r="D456" s="27">
        <v>111</v>
      </c>
      <c r="E456" s="27">
        <v>46</v>
      </c>
      <c r="F456" s="27">
        <v>59</v>
      </c>
      <c r="G456" s="27">
        <v>42</v>
      </c>
      <c r="H456" s="27">
        <v>45</v>
      </c>
      <c r="I456" s="27">
        <v>51</v>
      </c>
      <c r="J456" s="27">
        <v>32</v>
      </c>
      <c r="K456" s="27">
        <v>60</v>
      </c>
      <c r="L456" s="27">
        <v>78</v>
      </c>
      <c r="M456" s="27">
        <v>68</v>
      </c>
      <c r="N456" s="27">
        <v>43</v>
      </c>
      <c r="O456" s="28">
        <v>635</v>
      </c>
      <c r="P456" s="29">
        <v>38243.94000000001</v>
      </c>
      <c r="Q456" s="30">
        <v>73127.663</v>
      </c>
      <c r="R456" s="30">
        <v>79422.335000000006</v>
      </c>
      <c r="S456" s="30">
        <v>76639.887999999992</v>
      </c>
      <c r="T456" s="30">
        <v>68473.304000000004</v>
      </c>
      <c r="U456" s="30">
        <v>81856.600999999995</v>
      </c>
      <c r="V456" s="30">
        <v>71402.976999999999</v>
      </c>
      <c r="W456" s="30">
        <v>38874.488999999994</v>
      </c>
      <c r="X456" s="30">
        <v>21426.889999999996</v>
      </c>
      <c r="Y456" s="30">
        <v>8739.3680000000004</v>
      </c>
      <c r="Z456" s="31">
        <v>558570</v>
      </c>
      <c r="AA456" s="32">
        <f t="shared" si="32"/>
        <v>2.9024206187960753E-3</v>
      </c>
      <c r="AB456" s="32">
        <f t="shared" si="32"/>
        <v>6.2903692136312352E-4</v>
      </c>
      <c r="AC456" s="32">
        <f t="shared" si="32"/>
        <v>7.4286408225091841E-4</v>
      </c>
      <c r="AD456" s="32">
        <f t="shared" si="32"/>
        <v>5.4801750232202852E-4</v>
      </c>
      <c r="AE456" s="32">
        <f t="shared" si="32"/>
        <v>6.5719042855008137E-4</v>
      </c>
      <c r="AF456" s="32">
        <f t="shared" si="31"/>
        <v>6.2304077346187392E-4</v>
      </c>
      <c r="AG456" s="32">
        <f t="shared" si="31"/>
        <v>4.481605857974241E-4</v>
      </c>
      <c r="AH456" s="32">
        <f t="shared" si="31"/>
        <v>1.5434286480267305E-3</v>
      </c>
      <c r="AI456" s="32">
        <f t="shared" si="31"/>
        <v>3.6402856410799708E-3</v>
      </c>
      <c r="AJ456" s="32">
        <f t="shared" si="31"/>
        <v>7.7808830112200333E-3</v>
      </c>
      <c r="AK456" s="33">
        <f t="shared" si="34"/>
        <v>1.1368315519988542E-3</v>
      </c>
    </row>
    <row r="457" spans="1:37" x14ac:dyDescent="0.3">
      <c r="A457" t="s">
        <v>89</v>
      </c>
      <c r="B457" s="1">
        <v>2013</v>
      </c>
      <c r="C457" s="1" t="str">
        <f t="shared" si="33"/>
        <v>Wyoming, 2013</v>
      </c>
      <c r="D457" s="27">
        <v>118</v>
      </c>
      <c r="E457" s="27">
        <v>52</v>
      </c>
      <c r="F457" s="27">
        <v>58</v>
      </c>
      <c r="G457" s="27">
        <v>59</v>
      </c>
      <c r="H457" s="27">
        <v>41</v>
      </c>
      <c r="I457" s="27">
        <v>63</v>
      </c>
      <c r="J457" s="27">
        <v>46</v>
      </c>
      <c r="K457" s="27">
        <v>38</v>
      </c>
      <c r="L457" s="27">
        <v>63</v>
      </c>
      <c r="M457" s="27">
        <v>55</v>
      </c>
      <c r="N457" s="27">
        <v>46</v>
      </c>
      <c r="O457" s="28">
        <v>639</v>
      </c>
      <c r="P457" s="29">
        <v>34096.671999999999</v>
      </c>
      <c r="Q457" s="30">
        <v>65882.247999999992</v>
      </c>
      <c r="R457" s="30">
        <v>70778.941999999995</v>
      </c>
      <c r="S457" s="30">
        <v>68628.370999999999</v>
      </c>
      <c r="T457" s="30">
        <v>59628.420000000006</v>
      </c>
      <c r="U457" s="30">
        <v>69991.216</v>
      </c>
      <c r="V457" s="30">
        <v>66500.143000000011</v>
      </c>
      <c r="W457" s="30">
        <v>36226.008999999998</v>
      </c>
      <c r="X457" s="30">
        <v>19807.528000000002</v>
      </c>
      <c r="Y457" s="30">
        <v>7621.5539999999992</v>
      </c>
      <c r="Z457" s="31">
        <v>498694</v>
      </c>
      <c r="AA457" s="32">
        <f t="shared" si="32"/>
        <v>3.4607483099816897E-3</v>
      </c>
      <c r="AB457" s="32">
        <f t="shared" si="32"/>
        <v>7.8928697150710474E-4</v>
      </c>
      <c r="AC457" s="32">
        <f t="shared" si="32"/>
        <v>8.1945276887580496E-4</v>
      </c>
      <c r="AD457" s="32">
        <f t="shared" si="32"/>
        <v>8.5970276053907795E-4</v>
      </c>
      <c r="AE457" s="32">
        <f t="shared" si="32"/>
        <v>6.8759158803805291E-4</v>
      </c>
      <c r="AF457" s="32">
        <f t="shared" si="31"/>
        <v>9.0011295131663376E-4</v>
      </c>
      <c r="AG457" s="32">
        <f t="shared" si="31"/>
        <v>6.9172783583337544E-4</v>
      </c>
      <c r="AH457" s="32">
        <f t="shared" si="31"/>
        <v>1.0489700921787991E-3</v>
      </c>
      <c r="AI457" s="32">
        <f t="shared" si="31"/>
        <v>3.1806089078859306E-3</v>
      </c>
      <c r="AJ457" s="32">
        <f t="shared" si="31"/>
        <v>7.2163760828828352E-3</v>
      </c>
      <c r="AK457" s="33">
        <f t="shared" si="34"/>
        <v>1.2813468780454548E-3</v>
      </c>
    </row>
    <row r="458" spans="1:37" x14ac:dyDescent="0.3">
      <c r="A458" t="s">
        <v>89</v>
      </c>
      <c r="B458" s="1">
        <v>2014</v>
      </c>
      <c r="C458" s="1" t="str">
        <f t="shared" si="33"/>
        <v>Wyoming, 2014</v>
      </c>
      <c r="D458" s="27">
        <v>124</v>
      </c>
      <c r="E458" s="27">
        <v>55</v>
      </c>
      <c r="F458" s="27">
        <v>54</v>
      </c>
      <c r="G458" s="27">
        <v>49</v>
      </c>
      <c r="H458" s="27">
        <v>51</v>
      </c>
      <c r="I458" s="27">
        <v>65</v>
      </c>
      <c r="J458" s="27">
        <v>59</v>
      </c>
      <c r="K458" s="27">
        <v>51</v>
      </c>
      <c r="L458" s="27">
        <v>57</v>
      </c>
      <c r="M458" s="27">
        <v>48</v>
      </c>
      <c r="N458" s="27">
        <v>57</v>
      </c>
      <c r="O458" s="28">
        <v>670</v>
      </c>
      <c r="P458" s="29">
        <v>36171.064999999995</v>
      </c>
      <c r="Q458" s="30">
        <v>71355.379000000001</v>
      </c>
      <c r="R458" s="30">
        <v>76663.475000000006</v>
      </c>
      <c r="S458" s="30">
        <v>77274.504000000015</v>
      </c>
      <c r="T458" s="30">
        <v>64971.557999999997</v>
      </c>
      <c r="U458" s="30">
        <v>72550.70299999998</v>
      </c>
      <c r="V458" s="30">
        <v>71628.396999999997</v>
      </c>
      <c r="W458" s="30">
        <v>40235.49700000001</v>
      </c>
      <c r="X458" s="30">
        <v>21748.864000000001</v>
      </c>
      <c r="Y458" s="30">
        <v>8524.7209999999995</v>
      </c>
      <c r="Z458" s="31">
        <v>541268</v>
      </c>
      <c r="AA458" s="32">
        <f t="shared" si="32"/>
        <v>3.4281545207474544E-3</v>
      </c>
      <c r="AB458" s="32">
        <f t="shared" si="32"/>
        <v>7.7078982370761429E-4</v>
      </c>
      <c r="AC458" s="32">
        <f t="shared" si="32"/>
        <v>7.0437714961394586E-4</v>
      </c>
      <c r="AD458" s="32">
        <f t="shared" si="32"/>
        <v>6.3410306716430028E-4</v>
      </c>
      <c r="AE458" s="32">
        <f t="shared" si="32"/>
        <v>7.8495885845926612E-4</v>
      </c>
      <c r="AF458" s="32">
        <f t="shared" si="31"/>
        <v>8.9592515733445091E-4</v>
      </c>
      <c r="AG458" s="32">
        <f t="shared" si="31"/>
        <v>8.2369566360671173E-4</v>
      </c>
      <c r="AH458" s="32">
        <f t="shared" si="31"/>
        <v>1.2675374682211578E-3</v>
      </c>
      <c r="AI458" s="32">
        <f t="shared" si="31"/>
        <v>2.6208265406413868E-3</v>
      </c>
      <c r="AJ458" s="32">
        <f t="shared" si="31"/>
        <v>5.6306828106163246E-3</v>
      </c>
      <c r="AK458" s="33">
        <f t="shared" si="34"/>
        <v>1.2378341228374853E-3</v>
      </c>
    </row>
    <row r="459" spans="1:37" x14ac:dyDescent="0.3">
      <c r="A459" t="s">
        <v>89</v>
      </c>
      <c r="B459" s="1">
        <v>2015</v>
      </c>
      <c r="C459" s="1" t="str">
        <f t="shared" si="33"/>
        <v>Wyoming, 2015</v>
      </c>
      <c r="D459" s="27">
        <v>84</v>
      </c>
      <c r="E459" s="27">
        <v>54</v>
      </c>
      <c r="F459" s="27">
        <v>45</v>
      </c>
      <c r="G459" s="27">
        <v>52</v>
      </c>
      <c r="H459" s="27">
        <v>66</v>
      </c>
      <c r="I459" s="27">
        <v>62</v>
      </c>
      <c r="J459" s="27">
        <v>42</v>
      </c>
      <c r="K459" s="27">
        <v>46</v>
      </c>
      <c r="L459" s="27">
        <v>42</v>
      </c>
      <c r="M459" s="27">
        <v>61</v>
      </c>
      <c r="N459" s="27">
        <v>54</v>
      </c>
      <c r="O459" s="28">
        <v>608</v>
      </c>
      <c r="P459" s="29">
        <v>32974.621000000006</v>
      </c>
      <c r="Q459" s="30">
        <v>66811.190999999992</v>
      </c>
      <c r="R459" s="30">
        <v>72038.326999999976</v>
      </c>
      <c r="S459" s="30">
        <v>67924.074999999997</v>
      </c>
      <c r="T459" s="30">
        <v>59864.678000000007</v>
      </c>
      <c r="U459" s="30">
        <v>66722.751000000004</v>
      </c>
      <c r="V459" s="30">
        <v>71387.13</v>
      </c>
      <c r="W459" s="30">
        <v>41916.813999999991</v>
      </c>
      <c r="X459" s="30">
        <v>21535.861000000001</v>
      </c>
      <c r="Y459" s="30">
        <v>8865.5590000000011</v>
      </c>
      <c r="Z459" s="31">
        <v>509765</v>
      </c>
      <c r="AA459" s="32">
        <f t="shared" si="32"/>
        <v>2.5474136609485213E-3</v>
      </c>
      <c r="AB459" s="32">
        <f t="shared" si="32"/>
        <v>8.0824782782273712E-4</v>
      </c>
      <c r="AC459" s="32">
        <f t="shared" si="32"/>
        <v>6.2466747735549181E-4</v>
      </c>
      <c r="AD459" s="32">
        <f t="shared" si="32"/>
        <v>7.6556066460971317E-4</v>
      </c>
      <c r="AE459" s="32">
        <f t="shared" si="32"/>
        <v>1.102486511328099E-3</v>
      </c>
      <c r="AF459" s="32">
        <f t="shared" si="31"/>
        <v>9.2921828118268076E-4</v>
      </c>
      <c r="AG459" s="32">
        <f t="shared" si="31"/>
        <v>5.8834134388089277E-4</v>
      </c>
      <c r="AH459" s="32">
        <f t="shared" si="31"/>
        <v>1.0974116496544801E-3</v>
      </c>
      <c r="AI459" s="32">
        <f t="shared" si="31"/>
        <v>1.9502354700376269E-3</v>
      </c>
      <c r="AJ459" s="32">
        <f t="shared" si="31"/>
        <v>6.8805588006351313E-3</v>
      </c>
      <c r="AK459" s="33">
        <f t="shared" si="34"/>
        <v>1.1927064431649878E-3</v>
      </c>
    </row>
    <row r="460" spans="1:37" x14ac:dyDescent="0.3">
      <c r="A460" t="s">
        <v>89</v>
      </c>
      <c r="B460" s="1">
        <v>2016</v>
      </c>
      <c r="C460" s="1" t="str">
        <f t="shared" si="33"/>
        <v>Wyoming, 2016</v>
      </c>
      <c r="D460" s="27">
        <v>108</v>
      </c>
      <c r="E460" s="27">
        <v>61</v>
      </c>
      <c r="F460" s="27">
        <v>57</v>
      </c>
      <c r="G460" s="27">
        <v>41</v>
      </c>
      <c r="H460" s="27">
        <v>50</v>
      </c>
      <c r="I460" s="27">
        <v>41</v>
      </c>
      <c r="J460" s="27">
        <v>47</v>
      </c>
      <c r="K460" s="27">
        <v>61</v>
      </c>
      <c r="L460" s="27">
        <v>32</v>
      </c>
      <c r="M460" s="27">
        <v>56</v>
      </c>
      <c r="N460" s="27">
        <v>59</v>
      </c>
      <c r="O460" s="28">
        <v>613</v>
      </c>
      <c r="P460" s="29">
        <v>31976.305000000004</v>
      </c>
      <c r="Q460" s="30">
        <v>66726.074999999997</v>
      </c>
      <c r="R460" s="30">
        <v>64714.719000000012</v>
      </c>
      <c r="S460" s="30">
        <v>65616.759000000005</v>
      </c>
      <c r="T460" s="30">
        <v>59091.936999999991</v>
      </c>
      <c r="U460" s="30">
        <v>62164.548999999992</v>
      </c>
      <c r="V460" s="30">
        <v>68126.990999999995</v>
      </c>
      <c r="W460" s="30">
        <v>42062.749000000003</v>
      </c>
      <c r="X460" s="30">
        <v>21310.204999999998</v>
      </c>
      <c r="Y460" s="30">
        <v>8447.7960000000003</v>
      </c>
      <c r="Z460" s="31">
        <v>490089</v>
      </c>
      <c r="AA460" s="32">
        <f t="shared" si="32"/>
        <v>3.3775009338946442E-3</v>
      </c>
      <c r="AB460" s="32">
        <f t="shared" si="32"/>
        <v>9.1418534658302625E-4</v>
      </c>
      <c r="AC460" s="32">
        <f t="shared" si="32"/>
        <v>8.8078880478488963E-4</v>
      </c>
      <c r="AD460" s="32">
        <f t="shared" si="32"/>
        <v>6.2484037043036519E-4</v>
      </c>
      <c r="AE460" s="32">
        <f t="shared" si="32"/>
        <v>8.4613912723828988E-4</v>
      </c>
      <c r="AF460" s="32">
        <f t="shared" si="31"/>
        <v>6.5953989306670598E-4</v>
      </c>
      <c r="AG460" s="32">
        <f t="shared" si="31"/>
        <v>6.8988809442648079E-4</v>
      </c>
      <c r="AH460" s="32">
        <f t="shared" si="31"/>
        <v>1.4502142976912896E-3</v>
      </c>
      <c r="AI460" s="32">
        <f t="shared" si="31"/>
        <v>1.5016279758923016E-3</v>
      </c>
      <c r="AJ460" s="32">
        <f t="shared" si="31"/>
        <v>6.6289479528151484E-3</v>
      </c>
      <c r="AK460" s="33">
        <f t="shared" si="34"/>
        <v>1.2507932232716915E-3</v>
      </c>
    </row>
    <row r="461" spans="1:37" x14ac:dyDescent="0.3">
      <c r="A461" t="s">
        <v>89</v>
      </c>
      <c r="B461" s="1">
        <v>2017</v>
      </c>
      <c r="C461" s="1" t="str">
        <f t="shared" si="33"/>
        <v>Wyoming, 2017</v>
      </c>
      <c r="D461" s="27">
        <v>103</v>
      </c>
      <c r="E461" s="27">
        <v>73</v>
      </c>
      <c r="F461" s="27">
        <v>41</v>
      </c>
      <c r="G461" s="27">
        <v>45</v>
      </c>
      <c r="H461" s="27">
        <v>34</v>
      </c>
      <c r="I461" s="27">
        <v>56</v>
      </c>
      <c r="J461" s="27">
        <v>49</v>
      </c>
      <c r="K461" s="27">
        <v>46</v>
      </c>
      <c r="L461" s="27">
        <v>56</v>
      </c>
      <c r="M461" s="27">
        <v>67</v>
      </c>
      <c r="N461" s="27">
        <v>69</v>
      </c>
      <c r="O461" s="28">
        <v>639</v>
      </c>
      <c r="P461" s="29">
        <v>34608</v>
      </c>
      <c r="Q461" s="30">
        <v>72231</v>
      </c>
      <c r="R461" s="30">
        <v>74550</v>
      </c>
      <c r="S461" s="30">
        <v>76703</v>
      </c>
      <c r="T461" s="30">
        <v>65710</v>
      </c>
      <c r="U461" s="30">
        <v>65953</v>
      </c>
      <c r="V461" s="30">
        <v>74751</v>
      </c>
      <c r="W461" s="30">
        <v>45783</v>
      </c>
      <c r="X461" s="30">
        <v>22065</v>
      </c>
      <c r="Y461" s="30">
        <v>8870</v>
      </c>
      <c r="Z461" s="31">
        <v>541224</v>
      </c>
      <c r="AA461" s="32">
        <f t="shared" si="32"/>
        <v>2.976190476190476E-3</v>
      </c>
      <c r="AB461" s="32">
        <f t="shared" si="32"/>
        <v>1.0106463983608146E-3</v>
      </c>
      <c r="AC461" s="32">
        <f t="shared" si="32"/>
        <v>5.4996646545942321E-4</v>
      </c>
      <c r="AD461" s="32">
        <f t="shared" si="32"/>
        <v>5.8667848715174113E-4</v>
      </c>
      <c r="AE461" s="32">
        <f t="shared" si="32"/>
        <v>5.1742504945974735E-4</v>
      </c>
      <c r="AF461" s="32">
        <f t="shared" si="31"/>
        <v>8.4908950313101756E-4</v>
      </c>
      <c r="AG461" s="32">
        <f t="shared" si="31"/>
        <v>6.5550962528929384E-4</v>
      </c>
      <c r="AH461" s="32">
        <f t="shared" si="31"/>
        <v>1.0047397505624359E-3</v>
      </c>
      <c r="AI461" s="32">
        <f t="shared" si="31"/>
        <v>2.5379560389757532E-3</v>
      </c>
      <c r="AJ461" s="32">
        <f t="shared" si="31"/>
        <v>7.5535512965050735E-3</v>
      </c>
      <c r="AK461" s="33">
        <f t="shared" si="34"/>
        <v>1.1806571770653187E-3</v>
      </c>
    </row>
  </sheetData>
  <mergeCells count="3">
    <mergeCell ref="D1:O1"/>
    <mergeCell ref="P1:Z1"/>
    <mergeCell ref="AA1:AK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B8D8A-B0E0-4DFA-ACF4-301B902E6FE7}">
  <dimension ref="A1:G30"/>
  <sheetViews>
    <sheetView tabSelected="1" topLeftCell="A13" zoomScale="102" workbookViewId="0">
      <selection activeCell="E27" sqref="E27"/>
    </sheetView>
  </sheetViews>
  <sheetFormatPr defaultRowHeight="14.4" x14ac:dyDescent="0.3"/>
  <cols>
    <col min="1" max="1" width="36.88671875" customWidth="1"/>
    <col min="2" max="2" width="18.88671875" style="1" customWidth="1"/>
    <col min="3" max="3" width="23.77734375" style="1" bestFit="1" customWidth="1"/>
    <col min="4" max="4" width="13.6640625" style="1" bestFit="1" customWidth="1"/>
    <col min="5" max="5" width="41.33203125" style="1" bestFit="1" customWidth="1"/>
    <col min="6" max="6" width="18.44140625" customWidth="1"/>
  </cols>
  <sheetData>
    <row r="1" spans="1:7" ht="16.2" customHeight="1" x14ac:dyDescent="0.3">
      <c r="A1" s="2"/>
      <c r="B1"/>
      <c r="C1"/>
    </row>
    <row r="2" spans="1:7" x14ac:dyDescent="0.3">
      <c r="A2" s="18" t="s">
        <v>112</v>
      </c>
      <c r="B2" s="18"/>
      <c r="C2" s="18"/>
      <c r="D2" s="18"/>
      <c r="E2" s="18"/>
      <c r="F2" s="18"/>
    </row>
    <row r="3" spans="1:7" ht="39" customHeight="1" x14ac:dyDescent="0.45">
      <c r="A3" s="16" t="s">
        <v>0</v>
      </c>
      <c r="B3" s="17"/>
      <c r="C3" s="17"/>
      <c r="D3" s="17"/>
      <c r="E3" s="17"/>
      <c r="F3" s="17"/>
      <c r="G3" s="17"/>
    </row>
    <row r="4" spans="1:7" x14ac:dyDescent="0.3">
      <c r="B4" s="1" t="s">
        <v>90</v>
      </c>
      <c r="C4" s="1" t="s">
        <v>91</v>
      </c>
      <c r="D4" s="1" t="s">
        <v>107</v>
      </c>
      <c r="E4" s="1" t="s">
        <v>108</v>
      </c>
    </row>
    <row r="5" spans="1:7" x14ac:dyDescent="0.3">
      <c r="A5" t="s">
        <v>1</v>
      </c>
      <c r="B5" s="1" t="s">
        <v>93</v>
      </c>
      <c r="C5" s="1" t="s">
        <v>93</v>
      </c>
      <c r="D5" s="1" t="s">
        <v>93</v>
      </c>
      <c r="E5" s="1" t="s">
        <v>93</v>
      </c>
    </row>
    <row r="6" spans="1:7" x14ac:dyDescent="0.3">
      <c r="A6" t="s">
        <v>2</v>
      </c>
      <c r="B6" s="1" t="s">
        <v>92</v>
      </c>
      <c r="C6" s="1" t="s">
        <v>92</v>
      </c>
      <c r="D6" s="1" t="s">
        <v>92</v>
      </c>
      <c r="E6" s="1" t="s">
        <v>92</v>
      </c>
    </row>
    <row r="7" spans="1:7" ht="16.8" customHeight="1" x14ac:dyDescent="0.3">
      <c r="A7" t="s">
        <v>3</v>
      </c>
      <c r="B7" s="6" t="s">
        <v>105</v>
      </c>
      <c r="C7" s="6" t="s">
        <v>105</v>
      </c>
      <c r="D7" s="6" t="s">
        <v>105</v>
      </c>
      <c r="E7" s="1" t="s">
        <v>105</v>
      </c>
    </row>
    <row r="8" spans="1:7" x14ac:dyDescent="0.3">
      <c r="A8" t="s">
        <v>4</v>
      </c>
      <c r="B8" s="4">
        <f>_xlfn.VAR.S(Integrated!M3:M461)</f>
        <v>294444.48826478678</v>
      </c>
      <c r="C8" s="1">
        <f>_xlfn.VAR.S(Integrated!Y3:Y461)</f>
        <v>14980238523.386395</v>
      </c>
      <c r="D8" s="4">
        <f>_xlfn.VAR.S(Integrated!D3:D461)</f>
        <v>178.64207361741438</v>
      </c>
      <c r="E8" s="4">
        <f>_xlfn.VAR.S(Integrated!R3:R461)</f>
        <v>951338811162.96155</v>
      </c>
    </row>
    <row r="9" spans="1:7" x14ac:dyDescent="0.3">
      <c r="A9" t="s">
        <v>5</v>
      </c>
      <c r="B9" s="4">
        <f>_xlfn.STDEV.S(Integrated!M3:M461)</f>
        <v>542.62739358125555</v>
      </c>
      <c r="C9" s="4">
        <f>_xlfn.STDEV.S(Integrated!Y3:Y461)</f>
        <v>122393.78465995075</v>
      </c>
      <c r="D9" s="4">
        <f>_xlfn.STDEV.S(Integrated!F3:F461)</f>
        <v>9.29658496407027</v>
      </c>
      <c r="E9" s="4">
        <f>_xlfn.STDEV.S(Integrated!Q3:Q461)</f>
        <v>916194.60421026219</v>
      </c>
    </row>
    <row r="10" spans="1:7" x14ac:dyDescent="0.3">
      <c r="A10" t="s">
        <v>6</v>
      </c>
      <c r="B10" s="4">
        <f>AVERAGE(Integrated!M3:M461)</f>
        <v>475.13507625272331</v>
      </c>
      <c r="C10" s="4">
        <f>AVERAGE(Integrated!Y3:Y461)</f>
        <v>108026.23197385618</v>
      </c>
      <c r="D10" s="4">
        <f>AVERAGE(Integrated!F3:F461)</f>
        <v>53.111111111111114</v>
      </c>
      <c r="E10" s="4">
        <f>AVERAGE(Integrated!R3:R461)</f>
        <v>837687.79076034867</v>
      </c>
    </row>
    <row r="11" spans="1:7" x14ac:dyDescent="0.3">
      <c r="A11" t="s">
        <v>94</v>
      </c>
      <c r="B11" s="4">
        <f>MEDIAN(Integrated!M3:M461)</f>
        <v>320</v>
      </c>
      <c r="C11" s="4">
        <f>MEDIAN(Integrated!Y3:Y461)</f>
        <v>70543.092999999993</v>
      </c>
      <c r="D11" s="1">
        <f>MEDIAN(Integrated!F3:F461)</f>
        <v>53</v>
      </c>
      <c r="E11" s="4">
        <f>MEDIAN(Integrated!R3:R461)</f>
        <v>554233.19200000004</v>
      </c>
    </row>
    <row r="12" spans="1:7" x14ac:dyDescent="0.3">
      <c r="A12" t="s">
        <v>95</v>
      </c>
      <c r="B12" s="4">
        <f>B10-B9</f>
        <v>-67.492317328532238</v>
      </c>
      <c r="C12" s="4">
        <f>C10-C9</f>
        <v>-14367.552686094568</v>
      </c>
      <c r="D12" s="4">
        <f>D10-D9</f>
        <v>43.814526147040844</v>
      </c>
      <c r="E12" s="4">
        <f>E10-E9</f>
        <v>-78506.813449913519</v>
      </c>
    </row>
    <row r="13" spans="1:7" x14ac:dyDescent="0.3">
      <c r="A13" t="s">
        <v>96</v>
      </c>
      <c r="B13" s="4">
        <f>B10+B9</f>
        <v>1017.7624698339789</v>
      </c>
      <c r="C13" s="4">
        <f>C10+C9</f>
        <v>230420.01663380692</v>
      </c>
      <c r="D13" s="4">
        <f>D10+D9</f>
        <v>62.407696075181384</v>
      </c>
      <c r="E13" s="4">
        <f>E10+E9</f>
        <v>1753882.3949706107</v>
      </c>
    </row>
    <row r="14" spans="1:7" x14ac:dyDescent="0.3">
      <c r="B14" s="4"/>
      <c r="C14" s="4"/>
    </row>
    <row r="15" spans="1:7" x14ac:dyDescent="0.3">
      <c r="A15" t="s">
        <v>97</v>
      </c>
      <c r="B15" s="4">
        <f>B12-B9</f>
        <v>-610.11971090978773</v>
      </c>
      <c r="C15" s="4">
        <f>C12-C9</f>
        <v>-136761.3373460453</v>
      </c>
      <c r="D15" s="4">
        <f>D12-D9</f>
        <v>34.517941182970574</v>
      </c>
      <c r="E15" s="4">
        <f>E12-E9</f>
        <v>-994701.41766017571</v>
      </c>
    </row>
    <row r="16" spans="1:7" x14ac:dyDescent="0.3">
      <c r="A16" t="s">
        <v>98</v>
      </c>
      <c r="B16" s="4">
        <f>B13+B9</f>
        <v>1560.3898634152345</v>
      </c>
      <c r="C16" s="4">
        <f>C13-C9</f>
        <v>108026.23197385618</v>
      </c>
      <c r="D16" s="4">
        <f>D13-D9</f>
        <v>53.111111111111114</v>
      </c>
      <c r="E16" s="4">
        <f>E13+E9</f>
        <v>2670076.9991808729</v>
      </c>
    </row>
    <row r="17" spans="1:5" x14ac:dyDescent="0.3">
      <c r="B17" s="4"/>
      <c r="C17" s="4"/>
    </row>
    <row r="18" spans="1:5" x14ac:dyDescent="0.3">
      <c r="A18" t="s">
        <v>99</v>
      </c>
      <c r="B18" s="4">
        <f>B15-B9</f>
        <v>-1152.7471044910433</v>
      </c>
      <c r="C18" s="4">
        <f>C15-C9</f>
        <v>-259155.12200599606</v>
      </c>
      <c r="D18" s="4">
        <f>D15-D9</f>
        <v>25.221356218900304</v>
      </c>
      <c r="E18" s="4">
        <f>E15-E9</f>
        <v>-1910896.021870438</v>
      </c>
    </row>
    <row r="19" spans="1:5" x14ac:dyDescent="0.3">
      <c r="A19" t="s">
        <v>100</v>
      </c>
      <c r="B19" s="4">
        <f>B16-B9</f>
        <v>1017.7624698339789</v>
      </c>
      <c r="C19" s="4">
        <f>C16+C9</f>
        <v>230420.01663380692</v>
      </c>
      <c r="D19" s="4">
        <f>D16+D9</f>
        <v>62.407696075181384</v>
      </c>
      <c r="E19" s="4">
        <f>E16+E9</f>
        <v>3586271.6033911351</v>
      </c>
    </row>
    <row r="20" spans="1:5" x14ac:dyDescent="0.3">
      <c r="B20" s="4"/>
      <c r="C20" s="4"/>
    </row>
    <row r="21" spans="1:5" x14ac:dyDescent="0.3">
      <c r="A21" t="s">
        <v>101</v>
      </c>
      <c r="B21" s="4">
        <f>COUNTIFS(Integrated!M3:M461, "&lt;"&amp;$B$18) + COUNTIFS(Integrated!M3:M461,"&gt;"&amp;$B$19)</f>
        <v>56</v>
      </c>
      <c r="C21" s="4">
        <f>COUNTIFS(Integrated!Y3:Y461, "&lt;"&amp;$C$18) + COUNTIFS(Integrated!Y3:Y461,"&gt;"&amp;$C$19)</f>
        <v>55</v>
      </c>
      <c r="D21" s="4">
        <f>COUNTIFS(Integrated!F3:F461,"&lt;"&amp;$D$18) + COUNTIFS(Integrated!F3:F461,"&gt;"&amp;$D$19)</f>
        <v>76</v>
      </c>
      <c r="E21" s="4">
        <f>COUNTIFS(Integrated!Q3:Q461,"&lt;"&amp;$E$18) + COUNTIFS(Integrated!R3:R461,"&gt;"&amp;$E$19)</f>
        <v>17</v>
      </c>
    </row>
    <row r="22" spans="1:5" x14ac:dyDescent="0.3">
      <c r="A22" t="s">
        <v>109</v>
      </c>
      <c r="B22" s="5">
        <f>B21/ROWS(Integrated!M3:M461)</f>
        <v>0.12200435729847495</v>
      </c>
      <c r="C22" s="5">
        <f>C21/ROWS(Integrated!Y3:Y461)</f>
        <v>0.11982570806100218</v>
      </c>
      <c r="D22" s="5">
        <f>D21/ROWS(Integrated!F3:F461)</f>
        <v>0.16557734204793029</v>
      </c>
      <c r="E22" s="5">
        <f>E21/ROWS(Integrated!Q3:Q461)</f>
        <v>3.7037037037037035E-2</v>
      </c>
    </row>
    <row r="24" spans="1:5" ht="15" thickBot="1" x14ac:dyDescent="0.35"/>
    <row r="25" spans="1:5" ht="27.6" customHeight="1" thickBot="1" x14ac:dyDescent="0.5">
      <c r="A25" s="13" t="s">
        <v>7</v>
      </c>
      <c r="B25" s="14"/>
      <c r="C25" s="15"/>
    </row>
    <row r="26" spans="1:5" ht="28.8" x14ac:dyDescent="0.3">
      <c r="A26" s="7" t="s">
        <v>8</v>
      </c>
      <c r="B26" s="6" t="s">
        <v>102</v>
      </c>
      <c r="C26" s="8" t="s">
        <v>110</v>
      </c>
    </row>
    <row r="27" spans="1:5" ht="57.6" x14ac:dyDescent="0.3">
      <c r="A27" s="7" t="s">
        <v>9</v>
      </c>
      <c r="B27" s="6" t="s">
        <v>103</v>
      </c>
      <c r="C27" s="8" t="s">
        <v>117</v>
      </c>
    </row>
    <row r="28" spans="1:5" x14ac:dyDescent="0.3">
      <c r="A28" s="7" t="s">
        <v>10</v>
      </c>
      <c r="B28" s="35">
        <f>CORREL(Integrated!M3:M461,Integrated!Y3:Y461)</f>
        <v>0.94075190011387055</v>
      </c>
      <c r="C28" s="34">
        <f>CORREL(Integrated!F3:F461,Integrated!R3:R461)</f>
        <v>3.1239857443251723E-2</v>
      </c>
    </row>
    <row r="29" spans="1:5" x14ac:dyDescent="0.3">
      <c r="A29" s="7" t="s">
        <v>11</v>
      </c>
      <c r="B29" s="1" t="s">
        <v>111</v>
      </c>
      <c r="C29" s="9" t="s">
        <v>116</v>
      </c>
    </row>
    <row r="30" spans="1:5" ht="244.8" x14ac:dyDescent="0.3">
      <c r="A30" s="10" t="s">
        <v>12</v>
      </c>
      <c r="B30" s="11" t="s">
        <v>113</v>
      </c>
      <c r="C30" s="12" t="s">
        <v>118</v>
      </c>
    </row>
  </sheetData>
  <mergeCells count="2">
    <mergeCell ref="A3:G3"/>
    <mergeCell ref="A2: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Integrated</vt:lpstr>
      <vt:lpstr>Statistic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Oluwole Oni</dc:creator>
  <cp:lastModifiedBy>Oluwole Oni</cp:lastModifiedBy>
  <dcterms:created xsi:type="dcterms:W3CDTF">2025-02-28T04:28:15Z</dcterms:created>
  <dcterms:modified xsi:type="dcterms:W3CDTF">2025-03-11T01:26:13Z</dcterms:modified>
</cp:coreProperties>
</file>